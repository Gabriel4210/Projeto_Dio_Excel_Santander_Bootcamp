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orporativo57\Desktop\"/>
    </mc:Choice>
  </mc:AlternateContent>
  <xr:revisionPtr revIDLastSave="0" documentId="13_ncr:1_{10DEB554-CF73-4D8E-B301-53C704E6F721}" xr6:coauthVersionLast="47" xr6:coauthVersionMax="47" xr10:uidLastSave="{00000000-0000-0000-0000-000000000000}"/>
  <bookViews>
    <workbookView xWindow="-120" yWindow="-120" windowWidth="29040" windowHeight="15990" tabRatio="828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7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E63" i="3"/>
  <c r="E55" i="3"/>
  <c r="E36" i="3"/>
  <c r="E25" i="3"/>
</calcChain>
</file>

<file path=xl/sharedStrings.xml><?xml version="1.0" encoding="utf-8"?>
<sst xmlns="http://schemas.openxmlformats.org/spreadsheetml/2006/main" count="2042" uniqueCount="331">
  <si>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</si>
  <si>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</si>
  <si>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</si>
  <si>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</si>
  <si>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</si>
  <si>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</si>
  <si>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</si>
  <si>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</si>
  <si>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</si>
  <si>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</si>
  <si>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</si>
  <si>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</si>
  <si>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</si>
  <si>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</si>
  <si>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</si>
  <si>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</si>
  <si>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</si>
  <si>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</si>
  <si>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</si>
  <si>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</si>
  <si>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</si>
  <si>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</si>
  <si>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</si>
  <si>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</si>
  <si>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</si>
  <si>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</si>
  <si>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</si>
  <si>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</si>
  <si>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</si>
  <si>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</si>
  <si>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</si>
  <si>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</si>
  <si>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</si>
  <si>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</si>
  <si>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</si>
  <si>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</si>
  <si>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</si>
  <si>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</si>
  <si>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</si>
  <si>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</si>
  <si>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</si>
  <si>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</si>
  <si>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</si>
  <si>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</si>
  <si>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</si>
  <si>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</si>
  <si>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</si>
  <si>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</si>
  <si>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</si>
  <si>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</si>
  <si>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</si>
  <si>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</si>
  <si>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</si>
  <si>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</si>
  <si>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</si>
  <si>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</si>
  <si>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</si>
  <si>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</si>
  <si>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</si>
  <si>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</si>
  <si>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</si>
  <si>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</si>
  <si>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</si>
  <si>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</si>
  <si>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</si>
  <si>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</si>
  <si>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</si>
  <si>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</si>
  <si>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</si>
  <si>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</si>
  <si>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</si>
  <si>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</si>
  <si>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</si>
  <si>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</si>
  <si>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</si>
  <si>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</si>
  <si>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</si>
  <si>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</si>
  <si>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</si>
  <si>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</si>
  <si>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</si>
  <si>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</si>
  <si>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</si>
  <si>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</si>
  <si>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</si>
  <si>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</si>
  <si>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</si>
  <si>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</si>
  <si>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</si>
  <si>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</si>
  <si>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</si>
  <si>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</si>
  <si>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</si>
  <si>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</si>
  <si>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</si>
  <si>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</si>
  <si>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</si>
  <si>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</si>
  <si>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</si>
  <si>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</si>
  <si>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</si>
  <si>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</si>
  <si>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</si>
  <si>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</si>
  <si>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</si>
  <si>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</si>
  <si>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</si>
  <si>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</si>
  <si>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</si>
  <si>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</si>
  <si>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</si>
  <si>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</si>
  <si>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</si>
  <si>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</si>
  <si>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</si>
  <si>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</si>
  <si>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</si>
  <si>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</si>
  <si>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</si>
  <si>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</si>
  <si>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</si>
  <si>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</si>
  <si>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</si>
  <si>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</si>
  <si>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</si>
  <si>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</si>
  <si>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</si>
  <si>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</si>
  <si>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</si>
  <si>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</si>
  <si>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</si>
  <si>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</si>
  <si>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</si>
  <si>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</si>
  <si>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</si>
  <si>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</si>
  <si>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</si>
  <si>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</si>
  <si>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</si>
  <si>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</si>
  <si>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</si>
  <si>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</si>
  <si>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</si>
  <si>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</si>
  <si>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</si>
  <si>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</si>
  <si>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</si>
  <si>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</si>
  <si>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</si>
  <si>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</si>
  <si>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</si>
  <si>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</si>
  <si>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</si>
  <si>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</si>
  <si>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</si>
  <si>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</si>
  <si>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</si>
  <si>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</si>
  <si>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</si>
  <si>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</si>
  <si>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</si>
  <si>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</si>
  <si>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</si>
  <si>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</si>
  <si>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</si>
  <si>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</si>
  <si>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</si>
  <si>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</si>
  <si>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</si>
  <si>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</si>
  <si>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</si>
  <si>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</si>
  <si>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</si>
  <si>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</si>
  <si>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</si>
  <si>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</si>
  <si>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</si>
  <si>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</si>
  <si>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</si>
  <si>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</si>
  <si>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</si>
  <si>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</si>
  <si>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</si>
  <si>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</si>
  <si>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</si>
  <si>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</si>
  <si>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</si>
  <si>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</si>
  <si>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</si>
  <si>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</si>
  <si>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</si>
  <si>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</si>
  <si>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</si>
  <si>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</si>
  <si>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</si>
  <si>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</si>
  <si>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</si>
  <si>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</si>
  <si>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</si>
  <si>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</si>
  <si>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</si>
  <si>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</si>
  <si>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</si>
  <si>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</si>
  <si>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</si>
  <si>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</si>
  <si>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</si>
  <si>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</si>
  <si>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</si>
  <si>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</si>
  <si>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</si>
  <si>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</si>
  <si>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</si>
  <si>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</si>
  <si>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</si>
  <si>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</si>
  <si>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</si>
  <si>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</si>
  <si>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</si>
  <si>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</si>
  <si>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</si>
  <si>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</si>
  <si>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</si>
  <si>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</si>
  <si>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</si>
  <si>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</si>
  <si>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</si>
  <si>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</si>
  <si>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</si>
  <si>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</si>
  <si>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</si>
  <si>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</si>
  <si>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</si>
  <si>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</si>
  <si>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</si>
  <si>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</si>
  <si>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</si>
  <si>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</si>
  <si>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</si>
  <si>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</si>
  <si>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</si>
  <si>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</si>
  <si>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</si>
  <si>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</si>
  <si>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</si>
  <si>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</si>
  <si>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</si>
  <si>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</si>
  <si>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</si>
  <si>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</si>
  <si>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</si>
  <si>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</si>
  <si>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</si>
  <si>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</si>
  <si>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</si>
  <si>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</si>
  <si>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</si>
  <si>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</si>
  <si>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</si>
  <si>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</si>
  <si>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</si>
  <si>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</si>
  <si>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</si>
  <si>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</si>
  <si>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</si>
  <si>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</si>
  <si>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</si>
  <si>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</si>
  <si>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</si>
  <si>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</si>
  <si>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</si>
  <si>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</si>
  <si>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</si>
  <si>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</si>
  <si>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</si>
  <si>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</si>
  <si>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</si>
  <si>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</si>
  <si>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</si>
  <si>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</si>
  <si>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</si>
  <si>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</si>
  <si>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</si>
  <si>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</si>
  <si>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</si>
  <si>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</si>
  <si>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</si>
  <si>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</si>
  <si>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</si>
  <si>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</si>
  <si>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</si>
  <si>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</si>
  <si>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</si>
  <si>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</si>
  <si>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</si>
  <si>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</si>
  <si>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</si>
  <si>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</si>
  <si>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</si>
  <si>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</si>
  <si>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</si>
  <si>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</si>
  <si>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</si>
  <si>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</si>
  <si>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</si>
  <si>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</si>
  <si>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</si>
  <si>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</si>
  <si>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</si>
  <si>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</si>
  <si>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</si>
  <si>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</si>
  <si>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</si>
  <si>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</si>
  <si>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</si>
  <si>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</si>
  <si>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</si>
  <si>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</si>
  <si>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</si>
  <si>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</si>
  <si>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</si>
  <si>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</si>
  <si>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</si>
  <si>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</si>
  <si>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Type</t>
  </si>
  <si>
    <t>Standard + Minecraft</t>
  </si>
  <si>
    <t>Ultimate + EA Play + Minecraft</t>
  </si>
  <si>
    <t>Soma de Coupon Value</t>
  </si>
  <si>
    <t>Pergunta Negócio 6 - Total de cupons</t>
  </si>
  <si>
    <t>Pergunta Negócio 7 - Total de faturamento por tipo de assinatura</t>
  </si>
  <si>
    <r>
      <t xml:space="preserve">Pergunta Negócio 5 - Percentual do </t>
    </r>
    <r>
      <rPr>
        <b/>
        <sz val="11"/>
        <color theme="1"/>
        <rFont val="Aptos Narrow"/>
        <family val="2"/>
        <scheme val="minor"/>
      </rPr>
      <t>faturamento</t>
    </r>
    <r>
      <rPr>
        <sz val="11"/>
        <color theme="1"/>
        <rFont val="Aptos Narrow"/>
        <family val="2"/>
        <scheme val="minor"/>
      </rPr>
      <t xml:space="preserve"> por </t>
    </r>
    <r>
      <rPr>
        <b/>
        <sz val="11"/>
        <color theme="1"/>
        <rFont val="Aptos Narrow"/>
        <family val="2"/>
        <scheme val="minor"/>
      </rPr>
      <t>tipo de assinatura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</si>
</sst>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  <xf numFmtId="10" fontId="0" fillId="0" borderId="0" xfId="0" applyNumberFormat="1"/>
    <xf numFmtId="164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6"/>
      <tableStyleElement type="headerRow" dxfId="15"/>
    </tableStyle>
  </tableStyles>
  <colors>
    <mruColors>
      <color rgb="FF22C55E"/>
      <color rgb="FF2AE6B1"/>
      <color rgb="FF000000"/>
      <color rgb="FF5BF6A8"/>
      <color rgb="FFE8E6E9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8B61D356-D1A9-4451-A203-53EC6D59F9F6}" type="VALUE">
                  <a:rPr lang="en-US" baseline="0">
                    <a:solidFill>
                      <a:schemeClr val="bg1"/>
                    </a:solidFill>
                  </a:rPr>
                  <a:pPr>
                    <a:defRPr sz="1050" baseline="0">
                      <a:solidFill>
                        <a:schemeClr val="bg1"/>
                      </a:solidFill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22C55E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AA04C3A-72E5-44E6-9826-1DD56309EF2E}" type="VALUE">
                  <a:rPr lang="en-US" b="1"/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1"/>
        <c:spPr>
          <a:solidFill>
            <a:srgbClr val="22C55E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75E9720-04B4-42F7-B942-AF6CA2CDE0BB}" type="VALUE">
                  <a:rPr lang="en-US" b="1"/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6484254967747869E-2"/>
          <c:y val="0.16579531939131886"/>
          <c:w val="0.92703149006450425"/>
          <c:h val="0.755154049480249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AA04C3A-72E5-44E6-9826-1DD56309EF2E}" type="VALUE">
                      <a:rPr lang="en-US" b="1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C6E-490A-B688-8B54E709F2B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75E9720-04B4-42F7-B942-AF6CA2CDE0BB}" type="VALUE">
                      <a:rPr lang="en-US" b="1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7C6E-490A-B688-8B54E709F2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"R$"\ #,##0.00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Xbox.xlsx]C̳álculos!tbl_percent_assis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C̳álculos!$C$43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43-4110-8CDF-2C1D4E19C8AA}"/>
              </c:ext>
            </c:extLst>
          </c:dPt>
          <c:dPt>
            <c:idx val="1"/>
            <c:bubble3D val="0"/>
            <c:spPr>
              <a:solidFill>
                <a:srgbClr val="2AE6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43-4110-8CDF-2C1D4E19C8AA}"/>
              </c:ext>
            </c:extLst>
          </c:dPt>
          <c:dPt>
            <c:idx val="2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43-4110-8CDF-2C1D4E19C8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C̳álculos!$B$44:$B$47</c:f>
              <c:strCache>
                <c:ptCount val="3"/>
                <c:pt idx="0">
                  <c:v>Core</c:v>
                </c:pt>
                <c:pt idx="1">
                  <c:v>Standard + Minecraft</c:v>
                </c:pt>
                <c:pt idx="2">
                  <c:v>Ultimate + EA Play + Minecraft</c:v>
                </c:pt>
              </c:strCache>
            </c:strRef>
          </c:cat>
          <c:val>
            <c:numRef>
              <c:f>C̳álculos!$C$44:$C$47</c:f>
              <c:numCache>
                <c:formatCode>0.00%</c:formatCode>
                <c:ptCount val="3"/>
                <c:pt idx="0">
                  <c:v>5.3766451974236906E-2</c:v>
                </c:pt>
                <c:pt idx="1">
                  <c:v>0.26827219266311958</c:v>
                </c:pt>
                <c:pt idx="2">
                  <c:v>0.67796135536264357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43-4110-8CDF-2C1D4E19C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15332405483214"/>
          <c:y val="0.50052119839015086"/>
          <c:w val="0.24247621589674173"/>
          <c:h val="0.444983493516217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9.png"/><Relationship Id="rId7" Type="http://schemas.openxmlformats.org/officeDocument/2006/relationships/chart" Target="../charts/chart2.xml"/><Relationship Id="rId2" Type="http://schemas.openxmlformats.org/officeDocument/2006/relationships/image" Target="../media/image11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5" Type="http://schemas.openxmlformats.org/officeDocument/2006/relationships/chart" Target="../charts/chart1.xml"/><Relationship Id="rId4" Type="http://schemas.openxmlformats.org/officeDocument/2006/relationships/image" Target="../media/image10.svg"/><Relationship Id="rId9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8</xdr:col>
      <xdr:colOff>101203</xdr:colOff>
      <xdr:row>6</xdr:row>
      <xdr:rowOff>23813</xdr:rowOff>
    </xdr:from>
    <xdr:to>
      <xdr:col>14</xdr:col>
      <xdr:colOff>127397</xdr:colOff>
      <xdr:row>15</xdr:row>
      <xdr:rowOff>11907</xdr:rowOff>
    </xdr:to>
    <xdr:grpSp>
      <xdr:nvGrpSpPr>
        <xdr:cNvPr id="44" name="Agrupar 43">
          <a:extLst>
            <a:ext uri="{FF2B5EF4-FFF2-40B4-BE49-F238E27FC236}">
              <a16:creationId xmlns:a16="http://schemas.microsoft.com/office/drawing/2014/main" id="{5071CEF7-2C52-8ACC-BE5F-3185E69C3E06}"/>
            </a:ext>
          </a:extLst>
        </xdr:cNvPr>
        <xdr:cNvGrpSpPr/>
      </xdr:nvGrpSpPr>
      <xdr:grpSpPr>
        <a:xfrm>
          <a:off x="6578203" y="1138238"/>
          <a:ext cx="3960019" cy="1521619"/>
          <a:chOff x="6517481" y="1176338"/>
          <a:chExt cx="3960019" cy="1521619"/>
        </a:xfrm>
      </xdr:grpSpPr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A66F6E5F-021B-034F-BDBE-412F89DE8543}"/>
              </a:ext>
            </a:extLst>
          </xdr:cNvPr>
          <xdr:cNvSpPr/>
        </xdr:nvSpPr>
        <xdr:spPr>
          <a:xfrm>
            <a:off x="6517481" y="1233975"/>
            <a:ext cx="3960019" cy="1463982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36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338342F4-73EE-962B-63B1-5B4F29A7A23B}"/>
              </a:ext>
            </a:extLst>
          </xdr:cNvPr>
          <xdr:cNvSpPr/>
        </xdr:nvSpPr>
        <xdr:spPr>
          <a:xfrm>
            <a:off x="7467482" y="1725044"/>
            <a:ext cx="2574519" cy="912971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52E6073-EB91-45C9-81B2-5596C04756C0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R$ 1.800,00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4A1F90DC-6777-6E0D-F6C7-E4153C25B868}"/>
              </a:ext>
            </a:extLst>
          </xdr:cNvPr>
          <xdr:cNvSpPr/>
        </xdr:nvSpPr>
        <xdr:spPr>
          <a:xfrm>
            <a:off x="6517481" y="1176338"/>
            <a:ext cx="3960019" cy="43804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MINECRAFT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SEASON PASS</a:t>
            </a:r>
          </a:p>
        </xdr:txBody>
      </xdr: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6661299" y="1858762"/>
            <a:ext cx="921640" cy="564843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45245</xdr:rowOff>
    </xdr:from>
    <xdr:to>
      <xdr:col>7</xdr:col>
      <xdr:colOff>571500</xdr:colOff>
      <xdr:row>34</xdr:row>
      <xdr:rowOff>104776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374106" y="3055145"/>
          <a:ext cx="3988594" cy="3136106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Welcome, lets</a:t>
          </a:r>
          <a:r>
            <a:rPr lang="pt-BR" sz="1100" b="1" kern="1200" baseline="0"/>
            <a:t> go?</a:t>
          </a:r>
          <a:endParaRPr lang="pt-BR" sz="1100" b="1" kern="1200"/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02/01/2026 16:40:00</a:t>
          </a:r>
        </a:p>
      </xdr:txBody>
    </xdr:sp>
    <xdr:clientData/>
  </xdr:twoCellAnchor>
  <xdr:twoCellAnchor>
    <xdr:from>
      <xdr:col>0</xdr:col>
      <xdr:colOff>450957</xdr:colOff>
      <xdr:row>0</xdr:row>
      <xdr:rowOff>152400</xdr:rowOff>
    </xdr:from>
    <xdr:to>
      <xdr:col>0</xdr:col>
      <xdr:colOff>1222482</xdr:colOff>
      <xdr:row>3</xdr:row>
      <xdr:rowOff>28575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4587FCE9-6EDC-42A1-B8DF-3AE5528CE4EE}"/>
            </a:ext>
          </a:extLst>
        </xdr:cNvPr>
        <xdr:cNvSpPr/>
      </xdr:nvSpPr>
      <xdr:spPr>
        <a:xfrm>
          <a:off x="450957" y="152400"/>
          <a:ext cx="771525" cy="6572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8</xdr:col>
      <xdr:colOff>113109</xdr:colOff>
      <xdr:row>17</xdr:row>
      <xdr:rowOff>45245</xdr:rowOff>
    </xdr:from>
    <xdr:to>
      <xdr:col>14</xdr:col>
      <xdr:colOff>167878</xdr:colOff>
      <xdr:row>34</xdr:row>
      <xdr:rowOff>104775</xdr:rowOff>
    </xdr:to>
    <xdr:grpSp>
      <xdr:nvGrpSpPr>
        <xdr:cNvPr id="51" name="Agrupar 50">
          <a:extLst>
            <a:ext uri="{FF2B5EF4-FFF2-40B4-BE49-F238E27FC236}">
              <a16:creationId xmlns:a16="http://schemas.microsoft.com/office/drawing/2014/main" id="{6303855A-392E-B2C8-4CBA-5734FE38BA94}"/>
            </a:ext>
          </a:extLst>
        </xdr:cNvPr>
        <xdr:cNvGrpSpPr/>
      </xdr:nvGrpSpPr>
      <xdr:grpSpPr>
        <a:xfrm>
          <a:off x="6590109" y="3055145"/>
          <a:ext cx="3988594" cy="3136105"/>
          <a:chOff x="6536531" y="3055145"/>
          <a:chExt cx="3988594" cy="3136105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6506A57E-2CEA-37CD-3E0B-8E42A61E3055}"/>
              </a:ext>
            </a:extLst>
          </xdr:cNvPr>
          <xdr:cNvSpPr/>
        </xdr:nvSpPr>
        <xdr:spPr>
          <a:xfrm>
            <a:off x="6541143" y="3055145"/>
            <a:ext cx="3979371" cy="3136105"/>
          </a:xfrm>
          <a:prstGeom prst="roundRect">
            <a:avLst>
              <a:gd name="adj" fmla="val 360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FE15AA09-0870-914F-5954-11034B70AA5A}"/>
              </a:ext>
            </a:extLst>
          </xdr:cNvPr>
          <xdr:cNvSpPr/>
        </xdr:nvSpPr>
        <xdr:spPr>
          <a:xfrm>
            <a:off x="6536531" y="3055147"/>
            <a:ext cx="3988594" cy="43022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% TYPE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7E275793-2CA9-43A1-BE8F-BF4605FA6D81}"/>
              </a:ext>
            </a:extLst>
          </xdr:cNvPr>
          <xdr:cNvGraphicFramePr>
            <a:graphicFrameLocks/>
          </xdr:cNvGraphicFramePr>
        </xdr:nvGraphicFramePr>
        <xdr:xfrm>
          <a:off x="6553200" y="3514726"/>
          <a:ext cx="3933825" cy="26765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 editAs="absolute">
    <xdr:from>
      <xdr:col>14</xdr:col>
      <xdr:colOff>390525</xdr:colOff>
      <xdr:row>6</xdr:row>
      <xdr:rowOff>23813</xdr:rowOff>
    </xdr:from>
    <xdr:to>
      <xdr:col>20</xdr:col>
      <xdr:colOff>204788</xdr:colOff>
      <xdr:row>15</xdr:row>
      <xdr:rowOff>88107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295BAC86-58B3-407E-9592-F33217EE97A2}"/>
            </a:ext>
          </a:extLst>
        </xdr:cNvPr>
        <xdr:cNvGrpSpPr/>
      </xdr:nvGrpSpPr>
      <xdr:grpSpPr>
        <a:xfrm>
          <a:off x="10801350" y="1138238"/>
          <a:ext cx="3929063" cy="1597819"/>
          <a:chOff x="2095500" y="1143000"/>
          <a:chExt cx="4655344" cy="1647825"/>
        </a:xfrm>
      </xdr:grpSpPr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0D9358B2-D3B4-27BB-E364-5AFD042B10BF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34" name="Retângulo: Cantos Arredondados 33">
            <a:extLst>
              <a:ext uri="{FF2B5EF4-FFF2-40B4-BE49-F238E27FC236}">
                <a16:creationId xmlns:a16="http://schemas.microsoft.com/office/drawing/2014/main" id="{720B0622-7D61-9000-A67B-FE6551BEDD65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35" name="Imagem 34">
            <a:extLst>
              <a:ext uri="{FF2B5EF4-FFF2-40B4-BE49-F238E27FC236}">
                <a16:creationId xmlns:a16="http://schemas.microsoft.com/office/drawing/2014/main" id="{272E670F-EEE9-FCDF-96BE-A579A039BE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36" name="Retângulo: Cantos Superiores Arredondados 35">
            <a:extLst>
              <a:ext uri="{FF2B5EF4-FFF2-40B4-BE49-F238E27FC236}">
                <a16:creationId xmlns:a16="http://schemas.microsoft.com/office/drawing/2014/main" id="{3D2D63D2-C68C-5E7D-EE49-F4C13C21D450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2</xdr:col>
      <xdr:colOff>23812</xdr:colOff>
      <xdr:row>6</xdr:row>
      <xdr:rowOff>23813</xdr:rowOff>
    </xdr:from>
    <xdr:to>
      <xdr:col>7</xdr:col>
      <xdr:colOff>523875</xdr:colOff>
      <xdr:row>15</xdr:row>
      <xdr:rowOff>14219</xdr:rowOff>
    </xdr:to>
    <xdr:grpSp>
      <xdr:nvGrpSpPr>
        <xdr:cNvPr id="52" name="Agrupar 51">
          <a:extLst>
            <a:ext uri="{FF2B5EF4-FFF2-40B4-BE49-F238E27FC236}">
              <a16:creationId xmlns:a16="http://schemas.microsoft.com/office/drawing/2014/main" id="{AD3D1C7C-68C1-980D-349C-7E25B05C771A}"/>
            </a:ext>
          </a:extLst>
        </xdr:cNvPr>
        <xdr:cNvGrpSpPr/>
      </xdr:nvGrpSpPr>
      <xdr:grpSpPr>
        <a:xfrm>
          <a:off x="2386012" y="1138238"/>
          <a:ext cx="3929063" cy="1523931"/>
          <a:chOff x="2386012" y="1138238"/>
          <a:chExt cx="3929063" cy="1523931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386012" y="1195962"/>
            <a:ext cx="3929063" cy="1466207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63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328587" y="1687777"/>
            <a:ext cx="2554393" cy="914359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2E0A2CD3-95C5-46F6-8DCA-4246435B1548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 R$ 3.571,00 </a:t>
            </a:fld>
            <a:endParaRPr lang="pt-BR" sz="3600" b="0" i="0" u="none" strike="noStrike" kern="1200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386012" y="1138238"/>
            <a:ext cx="3929063" cy="43870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</a:t>
            </a:r>
          </a:p>
        </xdr:txBody>
      </xdr:sp>
      <xdr:pic>
        <xdr:nvPicPr>
          <xdr:cNvPr id="43" name="Imagem 42">
            <a:extLst>
              <a:ext uri="{FF2B5EF4-FFF2-40B4-BE49-F238E27FC236}">
                <a16:creationId xmlns:a16="http://schemas.microsoft.com/office/drawing/2014/main" id="{8B8649FD-1F74-4787-9155-730B77FB819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/>
          <a:srcRect t="-1" r="67073" b="-7738"/>
          <a:stretch/>
        </xdr:blipFill>
        <xdr:spPr>
          <a:xfrm>
            <a:off x="2714626" y="1895474"/>
            <a:ext cx="514349" cy="466725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>
    <xdr:from>
      <xdr:col>14</xdr:col>
      <xdr:colOff>390525</xdr:colOff>
      <xdr:row>17</xdr:row>
      <xdr:rowOff>45245</xdr:rowOff>
    </xdr:from>
    <xdr:to>
      <xdr:col>20</xdr:col>
      <xdr:colOff>204788</xdr:colOff>
      <xdr:row>25</xdr:row>
      <xdr:rowOff>121376</xdr:rowOff>
    </xdr:to>
    <xdr:grpSp>
      <xdr:nvGrpSpPr>
        <xdr:cNvPr id="53" name="Agrupar 52">
          <a:extLst>
            <a:ext uri="{FF2B5EF4-FFF2-40B4-BE49-F238E27FC236}">
              <a16:creationId xmlns:a16="http://schemas.microsoft.com/office/drawing/2014/main" id="{4DDC2024-AA23-B9C2-A877-A28AB52B8545}"/>
            </a:ext>
          </a:extLst>
        </xdr:cNvPr>
        <xdr:cNvGrpSpPr/>
      </xdr:nvGrpSpPr>
      <xdr:grpSpPr>
        <a:xfrm>
          <a:off x="10801350" y="3055145"/>
          <a:ext cx="3929063" cy="1523931"/>
          <a:chOff x="10801350" y="3055145"/>
          <a:chExt cx="3929063" cy="1523931"/>
        </a:xfrm>
      </xdr:grpSpPr>
      <xdr:sp macro="" textlink="">
        <xdr:nvSpPr>
          <xdr:cNvPr id="47" name="Retângulo: Cantos Arredondados 46">
            <a:extLst>
              <a:ext uri="{FF2B5EF4-FFF2-40B4-BE49-F238E27FC236}">
                <a16:creationId xmlns:a16="http://schemas.microsoft.com/office/drawing/2014/main" id="{40AC8F4D-A17D-C64C-F656-ECEFE611C742}"/>
              </a:ext>
            </a:extLst>
          </xdr:cNvPr>
          <xdr:cNvSpPr/>
        </xdr:nvSpPr>
        <xdr:spPr>
          <a:xfrm>
            <a:off x="10801350" y="3112869"/>
            <a:ext cx="3929063" cy="1466207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55">
        <xdr:nvSpPr>
          <xdr:cNvPr id="48" name="Retângulo: Cantos Arredondados 47">
            <a:extLst>
              <a:ext uri="{FF2B5EF4-FFF2-40B4-BE49-F238E27FC236}">
                <a16:creationId xmlns:a16="http://schemas.microsoft.com/office/drawing/2014/main" id="{BA2BDB7F-C95B-C193-14E6-31C4AA5D79AA}"/>
              </a:ext>
            </a:extLst>
          </xdr:cNvPr>
          <xdr:cNvSpPr/>
        </xdr:nvSpPr>
        <xdr:spPr>
          <a:xfrm>
            <a:off x="11743925" y="3604684"/>
            <a:ext cx="2554393" cy="914359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BF575C40-1C72-4609-B99C-128AFE38D1A0}" type="TxLink">
              <a:rPr lang="en-US" sz="3600" b="0" i="0" u="none" strike="noStrike" kern="1200">
                <a:solidFill>
                  <a:srgbClr val="C00000"/>
                </a:solidFill>
                <a:latin typeface="Aptos Narrow"/>
                <a:ea typeface="+mn-ea"/>
                <a:cs typeface="+mn-cs"/>
              </a:rPr>
              <a:pPr marL="0" indent="0" algn="ctr"/>
              <a:t> R$ 476,00 </a:t>
            </a:fld>
            <a:endParaRPr lang="pt-BR" sz="3600" b="0" i="0" u="none" strike="noStrike" kern="1200">
              <a:solidFill>
                <a:srgbClr val="C00000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49" name="Retângulo: Cantos Superiores Arredondados 48">
            <a:extLst>
              <a:ext uri="{FF2B5EF4-FFF2-40B4-BE49-F238E27FC236}">
                <a16:creationId xmlns:a16="http://schemas.microsoft.com/office/drawing/2014/main" id="{E17443FB-49BB-88AB-3C6F-342026BFF743}"/>
              </a:ext>
            </a:extLst>
          </xdr:cNvPr>
          <xdr:cNvSpPr/>
        </xdr:nvSpPr>
        <xdr:spPr>
          <a:xfrm>
            <a:off x="10801350" y="3055145"/>
            <a:ext cx="3929063" cy="43870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COUPON </a:t>
            </a:r>
          </a:p>
        </xdr:txBody>
      </xdr:sp>
      <xdr:pic>
        <xdr:nvPicPr>
          <xdr:cNvPr id="50" name="Imagem 49">
            <a:extLst>
              <a:ext uri="{FF2B5EF4-FFF2-40B4-BE49-F238E27FC236}">
                <a16:creationId xmlns:a16="http://schemas.microsoft.com/office/drawing/2014/main" id="{2B9AEF16-9DA3-4C09-E055-1C4353261DB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/>
          <a:srcRect t="-1" r="67073" b="-7738"/>
          <a:stretch/>
        </xdr:blipFill>
        <xdr:spPr>
          <a:xfrm>
            <a:off x="11129964" y="3812381"/>
            <a:ext cx="514349" cy="466725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Penha" refreshedDate="46024.687534837962" createdVersion="8" refreshedVersion="8" minRefreshableVersion="3" recordCount="295" xr:uid="{590B1258-CF1E-4807-8414-B70214B3D9F1}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ype" numFmtId="44">
      <sharedItems count="3">
        <s v="Ultimate + EA Play + Minecraft"/>
        <s v="Core"/>
        <s v="Standard + Minecraft"/>
      </sharedItems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x v="0"/>
    <x v="0"/>
  </r>
  <r>
    <n v="3232"/>
    <s v="Maria Oliveira"/>
    <x v="1"/>
    <d v="2024-01-15T00:00:00"/>
    <x v="1"/>
    <n v="5"/>
    <x v="1"/>
    <s v="No"/>
    <s v="-"/>
    <s v="No"/>
    <n v="0"/>
    <n v="0"/>
    <x v="1"/>
    <x v="1"/>
  </r>
  <r>
    <n v="3233"/>
    <s v="Lucas Fernandes"/>
    <x v="2"/>
    <d v="2024-02-10T00:00:00"/>
    <x v="0"/>
    <n v="10"/>
    <x v="2"/>
    <s v="No"/>
    <s v="-"/>
    <s v="Yes"/>
    <n v="20"/>
    <n v="10"/>
    <x v="2"/>
    <x v="2"/>
  </r>
  <r>
    <n v="3234"/>
    <s v="Ana Souza"/>
    <x v="0"/>
    <d v="2024-02-20T00:00:00"/>
    <x v="1"/>
    <n v="15"/>
    <x v="0"/>
    <s v="Yes"/>
    <n v="30"/>
    <s v="Yes"/>
    <n v="20"/>
    <n v="3"/>
    <x v="0"/>
    <x v="3"/>
  </r>
  <r>
    <n v="3235"/>
    <s v="Pedro Gonçalves"/>
    <x v="1"/>
    <d v="2024-03-05T00:00:00"/>
    <x v="0"/>
    <n v="5"/>
    <x v="0"/>
    <s v="No"/>
    <s v="-"/>
    <s v="No"/>
    <n v="0"/>
    <n v="1"/>
    <x v="1"/>
    <x v="4"/>
  </r>
  <r>
    <n v="3236"/>
    <s v="Felipe Costa"/>
    <x v="2"/>
    <d v="2024-03-02T00:00:00"/>
    <x v="1"/>
    <n v="10"/>
    <x v="0"/>
    <s v="No"/>
    <s v="-"/>
    <s v="Yes"/>
    <n v="20"/>
    <n v="2"/>
    <x v="2"/>
    <x v="5"/>
  </r>
  <r>
    <n v="3237"/>
    <s v="Camila Ribeiro"/>
    <x v="0"/>
    <d v="2024-03-03T00:00:00"/>
    <x v="0"/>
    <n v="15"/>
    <x v="2"/>
    <s v="Yes"/>
    <n v="30"/>
    <s v="Yes"/>
    <n v="20"/>
    <n v="10"/>
    <x v="0"/>
    <x v="6"/>
  </r>
  <r>
    <n v="3238"/>
    <s v="André Mendes"/>
    <x v="1"/>
    <d v="2024-03-04T00:00:00"/>
    <x v="0"/>
    <n v="5"/>
    <x v="1"/>
    <s v="No"/>
    <s v="-"/>
    <s v="No"/>
    <n v="0"/>
    <n v="0"/>
    <x v="1"/>
    <x v="1"/>
  </r>
  <r>
    <n v="3239"/>
    <s v="Sofia Almeida"/>
    <x v="0"/>
    <d v="2024-03-05T00:00:00"/>
    <x v="1"/>
    <n v="15"/>
    <x v="0"/>
    <s v="Yes"/>
    <n v="30"/>
    <s v="Yes"/>
    <n v="20"/>
    <n v="5"/>
    <x v="0"/>
    <x v="0"/>
  </r>
  <r>
    <n v="3240"/>
    <s v="Bruno Martins"/>
    <x v="2"/>
    <d v="2024-03-06T00:00:00"/>
    <x v="0"/>
    <n v="10"/>
    <x v="2"/>
    <s v="No"/>
    <s v="-"/>
    <s v="Yes"/>
    <n v="20"/>
    <n v="15"/>
    <x v="2"/>
    <x v="7"/>
  </r>
  <r>
    <n v="3241"/>
    <s v="Rita Castro"/>
    <x v="1"/>
    <d v="2024-03-07T00:00:00"/>
    <x v="1"/>
    <n v="5"/>
    <x v="0"/>
    <s v="No"/>
    <s v="-"/>
    <s v="No"/>
    <n v="0"/>
    <n v="1"/>
    <x v="1"/>
    <x v="4"/>
  </r>
  <r>
    <n v="3242"/>
    <s v="Marco Túlio"/>
    <x v="0"/>
    <d v="2024-03-08T00:00:00"/>
    <x v="0"/>
    <n v="15"/>
    <x v="1"/>
    <s v="Yes"/>
    <n v="30"/>
    <s v="Yes"/>
    <n v="20"/>
    <n v="20"/>
    <x v="0"/>
    <x v="8"/>
  </r>
  <r>
    <n v="3243"/>
    <s v="Lívia Silveira"/>
    <x v="2"/>
    <d v="2024-03-09T00:00:00"/>
    <x v="1"/>
    <n v="10"/>
    <x v="0"/>
    <s v="No"/>
    <s v="-"/>
    <s v="Yes"/>
    <n v="20"/>
    <n v="10"/>
    <x v="2"/>
    <x v="2"/>
  </r>
  <r>
    <n v="3244"/>
    <s v="Diogo Sousa"/>
    <x v="1"/>
    <d v="2024-03-10T00:00:00"/>
    <x v="0"/>
    <n v="5"/>
    <x v="2"/>
    <s v="No"/>
    <s v="-"/>
    <s v="No"/>
    <n v="0"/>
    <n v="0"/>
    <x v="1"/>
    <x v="1"/>
  </r>
  <r>
    <n v="3245"/>
    <s v="Fernanda Lima"/>
    <x v="0"/>
    <d v="2024-03-11T00:00:00"/>
    <x v="1"/>
    <n v="15"/>
    <x v="0"/>
    <s v="Yes"/>
    <n v="30"/>
    <s v="Yes"/>
    <n v="20"/>
    <n v="8"/>
    <x v="0"/>
    <x v="9"/>
  </r>
  <r>
    <n v="3246"/>
    <s v="Caio Pereira"/>
    <x v="2"/>
    <d v="2024-03-12T00:00:00"/>
    <x v="0"/>
    <n v="10"/>
    <x v="1"/>
    <s v="No"/>
    <s v="-"/>
    <s v="Yes"/>
    <n v="20"/>
    <n v="12"/>
    <x v="2"/>
    <x v="10"/>
  </r>
  <r>
    <n v="3247"/>
    <s v="Beatriz Gomes"/>
    <x v="1"/>
    <d v="2024-03-13T00:00:00"/>
    <x v="1"/>
    <n v="5"/>
    <x v="0"/>
    <s v="No"/>
    <s v="-"/>
    <s v="No"/>
    <n v="0"/>
    <n v="2"/>
    <x v="1"/>
    <x v="11"/>
  </r>
  <r>
    <n v="3248"/>
    <s v="Cesar Oliveira"/>
    <x v="0"/>
    <d v="2024-03-14T00:00:00"/>
    <x v="0"/>
    <n v="15"/>
    <x v="2"/>
    <s v="Yes"/>
    <n v="30"/>
    <s v="Yes"/>
    <n v="20"/>
    <n v="7"/>
    <x v="0"/>
    <x v="12"/>
  </r>
  <r>
    <n v="3249"/>
    <s v="Débora Machado"/>
    <x v="2"/>
    <d v="2024-03-15T00:00:00"/>
    <x v="1"/>
    <n v="10"/>
    <x v="0"/>
    <s v="No"/>
    <s v="-"/>
    <s v="Yes"/>
    <n v="20"/>
    <n v="5"/>
    <x v="2"/>
    <x v="13"/>
  </r>
  <r>
    <n v="3250"/>
    <s v="Eduardo Vargas"/>
    <x v="1"/>
    <d v="2024-03-16T00:00:00"/>
    <x v="0"/>
    <n v="5"/>
    <x v="1"/>
    <s v="No"/>
    <s v="-"/>
    <s v="No"/>
    <n v="0"/>
    <n v="0"/>
    <x v="1"/>
    <x v="1"/>
  </r>
  <r>
    <n v="3251"/>
    <s v="Gabriela Santos"/>
    <x v="0"/>
    <d v="2024-03-17T00:00:00"/>
    <x v="1"/>
    <n v="15"/>
    <x v="0"/>
    <s v="Yes"/>
    <n v="30"/>
    <s v="Yes"/>
    <n v="20"/>
    <n v="3"/>
    <x v="0"/>
    <x v="3"/>
  </r>
  <r>
    <n v="3252"/>
    <s v="Henrique Dias"/>
    <x v="2"/>
    <d v="2024-03-18T00:00:00"/>
    <x v="0"/>
    <n v="10"/>
    <x v="2"/>
    <s v="No"/>
    <s v="-"/>
    <s v="Yes"/>
    <n v="20"/>
    <n v="15"/>
    <x v="2"/>
    <x v="7"/>
  </r>
  <r>
    <n v="3253"/>
    <s v="Isabela Moreira"/>
    <x v="1"/>
    <d v="2024-03-19T00:00:00"/>
    <x v="1"/>
    <n v="5"/>
    <x v="0"/>
    <s v="No"/>
    <s v="-"/>
    <s v="No"/>
    <n v="0"/>
    <n v="1"/>
    <x v="1"/>
    <x v="4"/>
  </r>
  <r>
    <n v="3254"/>
    <s v="Joaquim Barbosa"/>
    <x v="0"/>
    <d v="2024-03-20T00:00:00"/>
    <x v="0"/>
    <n v="15"/>
    <x v="1"/>
    <s v="Yes"/>
    <n v="30"/>
    <s v="Yes"/>
    <n v="20"/>
    <n v="20"/>
    <x v="0"/>
    <x v="8"/>
  </r>
  <r>
    <n v="3255"/>
    <s v="Lara Rocha"/>
    <x v="2"/>
    <d v="2024-03-21T00:00:00"/>
    <x v="1"/>
    <n v="10"/>
    <x v="0"/>
    <s v="No"/>
    <s v="-"/>
    <s v="Yes"/>
    <n v="20"/>
    <n v="10"/>
    <x v="2"/>
    <x v="2"/>
  </r>
  <r>
    <n v="3256"/>
    <s v="Matheus Silva"/>
    <x v="1"/>
    <d v="2024-03-22T00:00:00"/>
    <x v="0"/>
    <n v="5"/>
    <x v="2"/>
    <s v="No"/>
    <s v="-"/>
    <s v="No"/>
    <n v="0"/>
    <n v="0"/>
    <x v="1"/>
    <x v="1"/>
  </r>
  <r>
    <n v="3257"/>
    <s v="Nicole Costa"/>
    <x v="0"/>
    <d v="2024-03-23T00:00:00"/>
    <x v="1"/>
    <n v="15"/>
    <x v="0"/>
    <s v="Yes"/>
    <n v="30"/>
    <s v="Yes"/>
    <n v="20"/>
    <n v="5"/>
    <x v="0"/>
    <x v="0"/>
  </r>
  <r>
    <n v="3258"/>
    <s v="Otávio Mendonça"/>
    <x v="2"/>
    <d v="2024-03-24T00:00:00"/>
    <x v="0"/>
    <n v="10"/>
    <x v="1"/>
    <s v="No"/>
    <s v="-"/>
    <s v="Yes"/>
    <n v="20"/>
    <n v="15"/>
    <x v="2"/>
    <x v="7"/>
  </r>
  <r>
    <n v="3259"/>
    <s v="Paula Ferreira"/>
    <x v="1"/>
    <d v="2024-03-25T00:00:00"/>
    <x v="1"/>
    <n v="5"/>
    <x v="0"/>
    <s v="No"/>
    <s v="-"/>
    <s v="No"/>
    <n v="0"/>
    <n v="1"/>
    <x v="1"/>
    <x v="4"/>
  </r>
  <r>
    <n v="3260"/>
    <s v="Raquel Alves"/>
    <x v="0"/>
    <d v="2024-03-26T00:00:00"/>
    <x v="0"/>
    <n v="15"/>
    <x v="2"/>
    <s v="Yes"/>
    <n v="30"/>
    <s v="Yes"/>
    <n v="20"/>
    <n v="7"/>
    <x v="0"/>
    <x v="12"/>
  </r>
  <r>
    <n v="3261"/>
    <s v="Samuel Pires"/>
    <x v="2"/>
    <d v="2024-03-27T00:00:00"/>
    <x v="1"/>
    <n v="10"/>
    <x v="0"/>
    <s v="No"/>
    <s v="-"/>
    <s v="Yes"/>
    <n v="20"/>
    <n v="10"/>
    <x v="2"/>
    <x v="2"/>
  </r>
  <r>
    <n v="3262"/>
    <s v="Tânia Barros"/>
    <x v="1"/>
    <d v="2024-03-28T00:00:00"/>
    <x v="0"/>
    <n v="5"/>
    <x v="1"/>
    <s v="No"/>
    <s v="-"/>
    <s v="No"/>
    <n v="0"/>
    <n v="0"/>
    <x v="1"/>
    <x v="1"/>
  </r>
  <r>
    <n v="3263"/>
    <s v="Vinicius Lima"/>
    <x v="0"/>
    <d v="2024-03-29T00:00:00"/>
    <x v="1"/>
    <n v="15"/>
    <x v="0"/>
    <s v="Yes"/>
    <n v="30"/>
    <s v="Yes"/>
    <n v="20"/>
    <n v="3"/>
    <x v="0"/>
    <x v="3"/>
  </r>
  <r>
    <n v="3264"/>
    <s v="Yasmin Teixeira"/>
    <x v="2"/>
    <d v="2024-03-30T00:00:00"/>
    <x v="0"/>
    <n v="10"/>
    <x v="2"/>
    <s v="No"/>
    <s v="-"/>
    <s v="Yes"/>
    <n v="20"/>
    <n v="15"/>
    <x v="2"/>
    <x v="7"/>
  </r>
  <r>
    <n v="3265"/>
    <s v="Zé Carlos"/>
    <x v="1"/>
    <d v="2024-03-31T00:00:00"/>
    <x v="1"/>
    <n v="5"/>
    <x v="0"/>
    <s v="No"/>
    <s v="-"/>
    <s v="No"/>
    <n v="0"/>
    <n v="1"/>
    <x v="1"/>
    <x v="4"/>
  </r>
  <r>
    <n v="3266"/>
    <s v="Amanda Nogueira"/>
    <x v="1"/>
    <d v="2024-04-01T00:00:00"/>
    <x v="0"/>
    <n v="5"/>
    <x v="0"/>
    <s v="No"/>
    <s v="-"/>
    <s v="No"/>
    <n v="0"/>
    <n v="0"/>
    <x v="1"/>
    <x v="1"/>
  </r>
  <r>
    <n v="3267"/>
    <s v="Bruno Cavalheiro"/>
    <x v="0"/>
    <d v="2024-04-02T00:00:00"/>
    <x v="1"/>
    <n v="15"/>
    <x v="2"/>
    <s v="Yes"/>
    <n v="30"/>
    <s v="Yes"/>
    <n v="20"/>
    <n v="7"/>
    <x v="0"/>
    <x v="12"/>
  </r>
  <r>
    <n v="3268"/>
    <s v="Carla Dias"/>
    <x v="2"/>
    <d v="2024-04-03T00:00:00"/>
    <x v="0"/>
    <n v="10"/>
    <x v="1"/>
    <s v="No"/>
    <s v="-"/>
    <s v="Yes"/>
    <n v="20"/>
    <n v="10"/>
    <x v="2"/>
    <x v="2"/>
  </r>
  <r>
    <n v="3269"/>
    <s v="Diego Fontes"/>
    <x v="1"/>
    <d v="2024-04-04T00:00:00"/>
    <x v="1"/>
    <n v="5"/>
    <x v="2"/>
    <s v="No"/>
    <s v="-"/>
    <s v="No"/>
    <n v="0"/>
    <n v="1"/>
    <x v="1"/>
    <x v="4"/>
  </r>
  <r>
    <n v="3270"/>
    <s v="Eunice Lima"/>
    <x v="0"/>
    <d v="2024-04-05T00:00:00"/>
    <x v="0"/>
    <n v="15"/>
    <x v="0"/>
    <s v="Yes"/>
    <n v="30"/>
    <s v="Yes"/>
    <n v="20"/>
    <n v="15"/>
    <x v="0"/>
    <x v="14"/>
  </r>
  <r>
    <n v="3271"/>
    <s v="Fábio Martins"/>
    <x v="2"/>
    <d v="2024-04-06T00:00:00"/>
    <x v="1"/>
    <n v="10"/>
    <x v="0"/>
    <s v="No"/>
    <s v="-"/>
    <s v="Yes"/>
    <n v="20"/>
    <n v="5"/>
    <x v="2"/>
    <x v="13"/>
  </r>
  <r>
    <n v="3272"/>
    <s v="Gisele Araújo"/>
    <x v="1"/>
    <d v="2024-04-07T00:00:00"/>
    <x v="0"/>
    <n v="5"/>
    <x v="1"/>
    <s v="No"/>
    <s v="-"/>
    <s v="No"/>
    <n v="0"/>
    <n v="0"/>
    <x v="1"/>
    <x v="1"/>
  </r>
  <r>
    <n v="3273"/>
    <s v="Hélio Castro"/>
    <x v="0"/>
    <d v="2024-04-08T00:00:00"/>
    <x v="1"/>
    <n v="15"/>
    <x v="2"/>
    <s v="Yes"/>
    <n v="30"/>
    <s v="Yes"/>
    <n v="20"/>
    <n v="20"/>
    <x v="0"/>
    <x v="8"/>
  </r>
  <r>
    <n v="3274"/>
    <s v="Ingrid Menezes"/>
    <x v="2"/>
    <d v="2024-04-09T00:00:00"/>
    <x v="0"/>
    <n v="10"/>
    <x v="2"/>
    <s v="No"/>
    <s v="-"/>
    <s v="Yes"/>
    <n v="20"/>
    <n v="12"/>
    <x v="2"/>
    <x v="10"/>
  </r>
  <r>
    <n v="3275"/>
    <s v="Jorge Baptista"/>
    <x v="1"/>
    <d v="2024-04-10T00:00:00"/>
    <x v="1"/>
    <n v="5"/>
    <x v="0"/>
    <s v="No"/>
    <s v="-"/>
    <s v="No"/>
    <n v="0"/>
    <n v="2"/>
    <x v="1"/>
    <x v="11"/>
  </r>
  <r>
    <n v="3276"/>
    <s v="Kléber Oliveira"/>
    <x v="0"/>
    <d v="2024-04-11T00:00:00"/>
    <x v="0"/>
    <n v="15"/>
    <x v="1"/>
    <s v="Yes"/>
    <n v="30"/>
    <s v="Yes"/>
    <n v="20"/>
    <n v="5"/>
    <x v="0"/>
    <x v="0"/>
  </r>
  <r>
    <n v="3277"/>
    <s v="Luciana Freitas"/>
    <x v="2"/>
    <d v="2024-04-12T00:00:00"/>
    <x v="1"/>
    <n v="10"/>
    <x v="0"/>
    <s v="No"/>
    <s v="-"/>
    <s v="Yes"/>
    <n v="20"/>
    <n v="10"/>
    <x v="2"/>
    <x v="2"/>
  </r>
  <r>
    <n v="3278"/>
    <s v="Márcia Eller"/>
    <x v="1"/>
    <d v="2024-04-13T00:00:00"/>
    <x v="0"/>
    <n v="5"/>
    <x v="2"/>
    <s v="No"/>
    <s v="-"/>
    <s v="No"/>
    <n v="0"/>
    <n v="0"/>
    <x v="1"/>
    <x v="1"/>
  </r>
  <r>
    <n v="3279"/>
    <s v="Nilo Peçanha"/>
    <x v="0"/>
    <d v="2024-04-14T00:00:00"/>
    <x v="1"/>
    <n v="15"/>
    <x v="0"/>
    <s v="Yes"/>
    <n v="30"/>
    <s v="Yes"/>
    <n v="20"/>
    <n v="3"/>
    <x v="0"/>
    <x v="3"/>
  </r>
  <r>
    <n v="3280"/>
    <s v="Oscar Neves"/>
    <x v="2"/>
    <d v="2024-04-15T00:00:00"/>
    <x v="0"/>
    <n v="10"/>
    <x v="1"/>
    <s v="No"/>
    <s v="-"/>
    <s v="Yes"/>
    <n v="20"/>
    <n v="15"/>
    <x v="2"/>
    <x v="7"/>
  </r>
  <r>
    <n v="3281"/>
    <s v="Patrícia Soares"/>
    <x v="1"/>
    <d v="2024-04-16T00:00:00"/>
    <x v="1"/>
    <n v="5"/>
    <x v="0"/>
    <s v="No"/>
    <s v="-"/>
    <s v="No"/>
    <n v="0"/>
    <n v="1"/>
    <x v="1"/>
    <x v="4"/>
  </r>
  <r>
    <n v="3282"/>
    <s v="Quirino Gonçalves"/>
    <x v="0"/>
    <d v="2024-04-17T00:00:00"/>
    <x v="0"/>
    <n v="15"/>
    <x v="2"/>
    <s v="Yes"/>
    <n v="30"/>
    <s v="Yes"/>
    <n v="20"/>
    <n v="7"/>
    <x v="0"/>
    <x v="12"/>
  </r>
  <r>
    <n v="3283"/>
    <s v="Raul Machado"/>
    <x v="2"/>
    <d v="2024-04-18T00:00:00"/>
    <x v="1"/>
    <n v="10"/>
    <x v="0"/>
    <s v="No"/>
    <s v="-"/>
    <s v="Yes"/>
    <n v="20"/>
    <n v="10"/>
    <x v="2"/>
    <x v="2"/>
  </r>
  <r>
    <n v="3284"/>
    <s v="Sônia Lobo"/>
    <x v="1"/>
    <d v="2024-04-19T00:00:00"/>
    <x v="0"/>
    <n v="5"/>
    <x v="1"/>
    <s v="No"/>
    <s v="-"/>
    <s v="No"/>
    <n v="0"/>
    <n v="0"/>
    <x v="1"/>
    <x v="1"/>
  </r>
  <r>
    <n v="3285"/>
    <s v="Tiago Ramos"/>
    <x v="0"/>
    <d v="2024-04-20T00:00:00"/>
    <x v="1"/>
    <n v="15"/>
    <x v="0"/>
    <s v="Yes"/>
    <n v="30"/>
    <s v="Yes"/>
    <n v="20"/>
    <n v="20"/>
    <x v="0"/>
    <x v="8"/>
  </r>
  <r>
    <n v="3286"/>
    <s v="Ugo Pires"/>
    <x v="2"/>
    <d v="2024-04-21T00:00:00"/>
    <x v="0"/>
    <n v="10"/>
    <x v="2"/>
    <s v="No"/>
    <s v="-"/>
    <s v="Yes"/>
    <n v="20"/>
    <n v="15"/>
    <x v="2"/>
    <x v="7"/>
  </r>
  <r>
    <n v="3287"/>
    <s v="Valéria Nobre"/>
    <x v="1"/>
    <d v="2024-04-22T00:00:00"/>
    <x v="1"/>
    <n v="5"/>
    <x v="0"/>
    <s v="No"/>
    <s v="-"/>
    <s v="No"/>
    <n v="0"/>
    <n v="1"/>
    <x v="1"/>
    <x v="4"/>
  </r>
  <r>
    <n v="3288"/>
    <s v="William Siqueira"/>
    <x v="0"/>
    <d v="2024-04-23T00:00:00"/>
    <x v="0"/>
    <n v="15"/>
    <x v="1"/>
    <s v="Yes"/>
    <n v="30"/>
    <s v="Yes"/>
    <n v="20"/>
    <n v="3"/>
    <x v="0"/>
    <x v="3"/>
  </r>
  <r>
    <n v="3289"/>
    <s v="Xuxa Meneghel"/>
    <x v="2"/>
    <d v="2024-04-24T00:00:00"/>
    <x v="1"/>
    <n v="10"/>
    <x v="0"/>
    <s v="No"/>
    <s v="-"/>
    <s v="Yes"/>
    <n v="20"/>
    <n v="10"/>
    <x v="2"/>
    <x v="2"/>
  </r>
  <r>
    <n v="3290"/>
    <s v="Yara Figueiredo"/>
    <x v="1"/>
    <d v="2024-04-25T00:00:00"/>
    <x v="0"/>
    <n v="5"/>
    <x v="2"/>
    <s v="No"/>
    <s v="-"/>
    <s v="No"/>
    <n v="0"/>
    <n v="0"/>
    <x v="1"/>
    <x v="1"/>
  </r>
  <r>
    <n v="3291"/>
    <s v="Zacarias Alves"/>
    <x v="0"/>
    <d v="2024-04-26T00:00:00"/>
    <x v="1"/>
    <n v="15"/>
    <x v="0"/>
    <s v="Yes"/>
    <n v="30"/>
    <s v="Yes"/>
    <n v="20"/>
    <n v="5"/>
    <x v="0"/>
    <x v="0"/>
  </r>
  <r>
    <n v="3292"/>
    <s v="Amanda Bynes"/>
    <x v="2"/>
    <d v="2024-04-27T00:00:00"/>
    <x v="0"/>
    <n v="10"/>
    <x v="1"/>
    <s v="No"/>
    <s v="-"/>
    <s v="Yes"/>
    <n v="20"/>
    <n v="15"/>
    <x v="2"/>
    <x v="7"/>
  </r>
  <r>
    <n v="3293"/>
    <s v="Bruno Mars"/>
    <x v="1"/>
    <d v="2024-04-28T00:00:00"/>
    <x v="1"/>
    <n v="5"/>
    <x v="0"/>
    <s v="No"/>
    <s v="-"/>
    <s v="No"/>
    <n v="0"/>
    <n v="1"/>
    <x v="1"/>
    <x v="4"/>
  </r>
  <r>
    <n v="3294"/>
    <s v="Carla Bruni"/>
    <x v="0"/>
    <d v="2024-04-29T00:00:00"/>
    <x v="0"/>
    <n v="15"/>
    <x v="2"/>
    <s v="Yes"/>
    <n v="30"/>
    <s v="Yes"/>
    <n v="20"/>
    <n v="20"/>
    <x v="0"/>
    <x v="8"/>
  </r>
  <r>
    <n v="3295"/>
    <s v="Diego Maradona"/>
    <x v="2"/>
    <d v="2024-04-30T00:00:00"/>
    <x v="1"/>
    <n v="10"/>
    <x v="0"/>
    <s v="No"/>
    <s v="-"/>
    <s v="Yes"/>
    <n v="20"/>
    <n v="5"/>
    <x v="2"/>
    <x v="13"/>
  </r>
  <r>
    <n v="3296"/>
    <s v="Estela Marques"/>
    <x v="1"/>
    <d v="2024-05-01T00:00:00"/>
    <x v="1"/>
    <n v="5"/>
    <x v="0"/>
    <s v="No"/>
    <s v="-"/>
    <s v="No"/>
    <n v="0"/>
    <n v="0"/>
    <x v="1"/>
    <x v="1"/>
  </r>
  <r>
    <n v="3297"/>
    <s v="Fábio Nobre"/>
    <x v="0"/>
    <d v="2024-05-02T00:00:00"/>
    <x v="0"/>
    <n v="15"/>
    <x v="2"/>
    <s v="Yes"/>
    <n v="30"/>
    <s v="Yes"/>
    <n v="20"/>
    <n v="7"/>
    <x v="0"/>
    <x v="12"/>
  </r>
  <r>
    <n v="3298"/>
    <s v="Gabriel Oliveira"/>
    <x v="2"/>
    <d v="2024-05-03T00:00:00"/>
    <x v="1"/>
    <n v="10"/>
    <x v="1"/>
    <s v="No"/>
    <s v="-"/>
    <s v="Yes"/>
    <n v="20"/>
    <n v="10"/>
    <x v="2"/>
    <x v="2"/>
  </r>
  <r>
    <n v="3299"/>
    <s v="Helena Santos"/>
    <x v="1"/>
    <d v="2024-05-04T00:00:00"/>
    <x v="0"/>
    <n v="5"/>
    <x v="2"/>
    <s v="No"/>
    <s v="-"/>
    <s v="No"/>
    <n v="0"/>
    <n v="1"/>
    <x v="1"/>
    <x v="4"/>
  </r>
  <r>
    <n v="3300"/>
    <s v="Ivan Carvalho"/>
    <x v="0"/>
    <d v="2024-05-05T00:00:00"/>
    <x v="1"/>
    <n v="15"/>
    <x v="0"/>
    <s v="Yes"/>
    <n v="30"/>
    <s v="Yes"/>
    <n v="20"/>
    <n v="15"/>
    <x v="0"/>
    <x v="14"/>
  </r>
  <r>
    <n v="3301"/>
    <s v="Júlia Ferreira"/>
    <x v="2"/>
    <d v="2024-05-06T00:00:00"/>
    <x v="0"/>
    <n v="10"/>
    <x v="0"/>
    <s v="No"/>
    <s v="-"/>
    <s v="Yes"/>
    <n v="20"/>
    <n v="5"/>
    <x v="2"/>
    <x v="13"/>
  </r>
  <r>
    <n v="3302"/>
    <s v="Karla Alves"/>
    <x v="1"/>
    <d v="2024-05-07T00:00:00"/>
    <x v="1"/>
    <n v="5"/>
    <x v="1"/>
    <s v="No"/>
    <s v="-"/>
    <s v="No"/>
    <n v="0"/>
    <n v="0"/>
    <x v="1"/>
    <x v="1"/>
  </r>
  <r>
    <n v="3303"/>
    <s v="Lucas Mendes"/>
    <x v="0"/>
    <d v="2024-05-08T00:00:00"/>
    <x v="0"/>
    <n v="15"/>
    <x v="2"/>
    <s v="Yes"/>
    <n v="30"/>
    <s v="Yes"/>
    <n v="20"/>
    <n v="20"/>
    <x v="0"/>
    <x v="8"/>
  </r>
  <r>
    <n v="3304"/>
    <s v="Mônica Gomes"/>
    <x v="2"/>
    <d v="2024-05-09T00:00:00"/>
    <x v="1"/>
    <n v="10"/>
    <x v="2"/>
    <s v="No"/>
    <s v="-"/>
    <s v="Yes"/>
    <n v="20"/>
    <n v="12"/>
    <x v="2"/>
    <x v="10"/>
  </r>
  <r>
    <n v="3305"/>
    <s v="Norberto Queiroz"/>
    <x v="1"/>
    <d v="2024-05-10T00:00:00"/>
    <x v="0"/>
    <n v="5"/>
    <x v="0"/>
    <s v="No"/>
    <s v="-"/>
    <s v="No"/>
    <n v="0"/>
    <n v="2"/>
    <x v="1"/>
    <x v="11"/>
  </r>
  <r>
    <n v="3306"/>
    <s v="Otávio Barros"/>
    <x v="0"/>
    <d v="2024-05-11T00:00:00"/>
    <x v="1"/>
    <n v="15"/>
    <x v="1"/>
    <s v="Yes"/>
    <n v="30"/>
    <s v="Yes"/>
    <n v="20"/>
    <n v="5"/>
    <x v="0"/>
    <x v="0"/>
  </r>
  <r>
    <n v="3307"/>
    <s v="Paula Vieira"/>
    <x v="2"/>
    <d v="2024-05-12T00:00:00"/>
    <x v="0"/>
    <n v="10"/>
    <x v="0"/>
    <s v="No"/>
    <s v="-"/>
    <s v="Yes"/>
    <n v="20"/>
    <n v="10"/>
    <x v="2"/>
    <x v="2"/>
  </r>
  <r>
    <n v="3308"/>
    <s v="Quentin Ramos"/>
    <x v="1"/>
    <d v="2024-05-13T00:00:00"/>
    <x v="1"/>
    <n v="5"/>
    <x v="2"/>
    <s v="No"/>
    <s v="-"/>
    <s v="No"/>
    <n v="0"/>
    <n v="0"/>
    <x v="1"/>
    <x v="1"/>
  </r>
  <r>
    <n v="3309"/>
    <s v="Raquel Novaes"/>
    <x v="0"/>
    <d v="2024-05-14T00:00:00"/>
    <x v="0"/>
    <n v="15"/>
    <x v="0"/>
    <s v="Yes"/>
    <n v="30"/>
    <s v="Yes"/>
    <n v="20"/>
    <n v="3"/>
    <x v="0"/>
    <x v="3"/>
  </r>
  <r>
    <n v="3310"/>
    <s v="Samantha Lopes"/>
    <x v="2"/>
    <d v="2024-05-15T00:00:00"/>
    <x v="1"/>
    <n v="10"/>
    <x v="1"/>
    <s v="No"/>
    <s v="-"/>
    <s v="Yes"/>
    <n v="20"/>
    <n v="15"/>
    <x v="2"/>
    <x v="7"/>
  </r>
  <r>
    <n v="3311"/>
    <s v="Tiago Martins"/>
    <x v="1"/>
    <d v="2024-05-16T00:00:00"/>
    <x v="0"/>
    <n v="5"/>
    <x v="0"/>
    <s v="No"/>
    <s v="-"/>
    <s v="No"/>
    <n v="0"/>
    <n v="1"/>
    <x v="1"/>
    <x v="4"/>
  </r>
  <r>
    <n v="3312"/>
    <s v="Ulysses Guimarães"/>
    <x v="0"/>
    <d v="2024-05-17T00:00:00"/>
    <x v="1"/>
    <n v="15"/>
    <x v="2"/>
    <s v="Yes"/>
    <n v="30"/>
    <s v="Yes"/>
    <n v="20"/>
    <n v="7"/>
    <x v="0"/>
    <x v="12"/>
  </r>
  <r>
    <n v="3313"/>
    <s v="Vanessa Silva"/>
    <x v="2"/>
    <d v="2024-05-18T00:00:00"/>
    <x v="0"/>
    <n v="10"/>
    <x v="0"/>
    <s v="No"/>
    <s v="-"/>
    <s v="Yes"/>
    <n v="20"/>
    <n v="10"/>
    <x v="2"/>
    <x v="2"/>
  </r>
  <r>
    <n v="3314"/>
    <s v="William Carneiro"/>
    <x v="1"/>
    <d v="2024-05-19T00:00:00"/>
    <x v="1"/>
    <n v="5"/>
    <x v="1"/>
    <s v="No"/>
    <s v="-"/>
    <s v="No"/>
    <n v="0"/>
    <n v="0"/>
    <x v="1"/>
    <x v="1"/>
  </r>
  <r>
    <n v="3315"/>
    <s v="Ximena Rocha"/>
    <x v="0"/>
    <d v="2024-05-20T00:00:00"/>
    <x v="0"/>
    <n v="15"/>
    <x v="0"/>
    <s v="Yes"/>
    <n v="30"/>
    <s v="Yes"/>
    <n v="20"/>
    <n v="20"/>
    <x v="0"/>
    <x v="8"/>
  </r>
  <r>
    <n v="3316"/>
    <s v="Yasmin Figueiredo"/>
    <x v="2"/>
    <d v="2024-05-21T00:00:00"/>
    <x v="1"/>
    <n v="10"/>
    <x v="2"/>
    <s v="No"/>
    <s v="-"/>
    <s v="Yes"/>
    <n v="20"/>
    <n v="15"/>
    <x v="2"/>
    <x v="7"/>
  </r>
  <r>
    <n v="3317"/>
    <s v="Zara Cunha"/>
    <x v="1"/>
    <d v="2024-05-22T00:00:00"/>
    <x v="0"/>
    <n v="5"/>
    <x v="0"/>
    <s v="No"/>
    <s v="-"/>
    <s v="No"/>
    <n v="0"/>
    <n v="1"/>
    <x v="1"/>
    <x v="4"/>
  </r>
  <r>
    <n v="3318"/>
    <s v="Alan Teixeira"/>
    <x v="0"/>
    <d v="2024-05-23T00:00:00"/>
    <x v="1"/>
    <n v="15"/>
    <x v="1"/>
    <s v="Yes"/>
    <n v="30"/>
    <s v="Yes"/>
    <n v="20"/>
    <n v="3"/>
    <x v="0"/>
    <x v="3"/>
  </r>
  <r>
    <n v="3319"/>
    <s v="Bárbara Oliveira"/>
    <x v="2"/>
    <d v="2024-05-24T00:00:00"/>
    <x v="0"/>
    <n v="10"/>
    <x v="0"/>
    <s v="No"/>
    <s v="-"/>
    <s v="Yes"/>
    <n v="20"/>
    <n v="10"/>
    <x v="2"/>
    <x v="2"/>
  </r>
  <r>
    <n v="3320"/>
    <s v="Carlos Junqueira"/>
    <x v="1"/>
    <d v="2024-05-25T00:00:00"/>
    <x v="1"/>
    <n v="5"/>
    <x v="2"/>
    <s v="No"/>
    <s v="-"/>
    <s v="No"/>
    <n v="0"/>
    <n v="0"/>
    <x v="1"/>
    <x v="1"/>
  </r>
  <r>
    <n v="3321"/>
    <s v="Daniela Moura"/>
    <x v="0"/>
    <d v="2024-05-26T00:00:00"/>
    <x v="0"/>
    <n v="15"/>
    <x v="0"/>
    <s v="Yes"/>
    <n v="30"/>
    <s v="Yes"/>
    <n v="20"/>
    <n v="5"/>
    <x v="0"/>
    <x v="0"/>
  </r>
  <r>
    <n v="3322"/>
    <s v="Eduardo Lima"/>
    <x v="2"/>
    <d v="2024-05-27T00:00:00"/>
    <x v="1"/>
    <n v="10"/>
    <x v="1"/>
    <s v="No"/>
    <s v="-"/>
    <s v="Yes"/>
    <n v="20"/>
    <n v="15"/>
    <x v="2"/>
    <x v="7"/>
  </r>
  <r>
    <n v="3323"/>
    <s v="Fabiana Araújo"/>
    <x v="1"/>
    <d v="2024-05-28T00:00:00"/>
    <x v="0"/>
    <n v="5"/>
    <x v="0"/>
    <s v="No"/>
    <s v="-"/>
    <s v="No"/>
    <n v="0"/>
    <n v="1"/>
    <x v="1"/>
    <x v="4"/>
  </r>
  <r>
    <n v="3324"/>
    <s v="Geraldo Ribeiro"/>
    <x v="0"/>
    <d v="2024-05-29T00:00:00"/>
    <x v="1"/>
    <n v="15"/>
    <x v="2"/>
    <s v="Yes"/>
    <n v="30"/>
    <s v="Yes"/>
    <n v="20"/>
    <n v="20"/>
    <x v="0"/>
    <x v="8"/>
  </r>
  <r>
    <n v="3325"/>
    <s v="Héctor Vargas"/>
    <x v="2"/>
    <d v="2024-05-30T00:00:00"/>
    <x v="0"/>
    <n v="10"/>
    <x v="2"/>
    <s v="No"/>
    <s v="-"/>
    <s v="Yes"/>
    <n v="20"/>
    <n v="15"/>
    <x v="2"/>
    <x v="7"/>
  </r>
  <r>
    <n v="3326"/>
    <s v="Isabela Fonseca"/>
    <x v="1"/>
    <d v="2024-05-31T00:00:00"/>
    <x v="1"/>
    <n v="5"/>
    <x v="1"/>
    <s v="No"/>
    <s v="-"/>
    <s v="No"/>
    <n v="0"/>
    <n v="0"/>
    <x v="1"/>
    <x v="1"/>
  </r>
  <r>
    <n v="3327"/>
    <s v="João Pedro Almeida"/>
    <x v="0"/>
    <d v="2024-06-01T00:00:00"/>
    <x v="0"/>
    <n v="15"/>
    <x v="0"/>
    <s v="Yes"/>
    <n v="30"/>
    <s v="Yes"/>
    <n v="20"/>
    <n v="7"/>
    <x v="0"/>
    <x v="12"/>
  </r>
  <r>
    <n v="3328"/>
    <s v="Klara Costa"/>
    <x v="2"/>
    <d v="2024-06-02T00:00:00"/>
    <x v="1"/>
    <n v="10"/>
    <x v="1"/>
    <s v="No"/>
    <s v="-"/>
    <s v="Yes"/>
    <n v="20"/>
    <n v="10"/>
    <x v="2"/>
    <x v="2"/>
  </r>
  <r>
    <n v="3329"/>
    <s v="Luciana Mendes"/>
    <x v="1"/>
    <d v="2024-06-03T00:00:00"/>
    <x v="0"/>
    <n v="5"/>
    <x v="2"/>
    <s v="No"/>
    <s v="-"/>
    <s v="No"/>
    <n v="0"/>
    <n v="1"/>
    <x v="1"/>
    <x v="4"/>
  </r>
  <r>
    <n v="3330"/>
    <s v="Marcelo Gouveia"/>
    <x v="0"/>
    <d v="2024-06-04T00:00:00"/>
    <x v="1"/>
    <n v="15"/>
    <x v="0"/>
    <s v="Yes"/>
    <n v="30"/>
    <s v="Yes"/>
    <n v="20"/>
    <n v="15"/>
    <x v="0"/>
    <x v="14"/>
  </r>
  <r>
    <n v="3331"/>
    <s v="Nívea Borges"/>
    <x v="2"/>
    <d v="2024-06-05T00:00:00"/>
    <x v="0"/>
    <n v="10"/>
    <x v="0"/>
    <s v="No"/>
    <s v="-"/>
    <s v="Yes"/>
    <n v="20"/>
    <n v="5"/>
    <x v="2"/>
    <x v="13"/>
  </r>
  <r>
    <n v="3332"/>
    <s v="Oscar Nogueira"/>
    <x v="1"/>
    <d v="2024-06-06T00:00:00"/>
    <x v="1"/>
    <n v="5"/>
    <x v="1"/>
    <s v="No"/>
    <s v="-"/>
    <s v="No"/>
    <n v="0"/>
    <n v="0"/>
    <x v="1"/>
    <x v="1"/>
  </r>
  <r>
    <n v="3333"/>
    <s v="Patrícia Alves"/>
    <x v="0"/>
    <d v="2024-06-07T00:00:00"/>
    <x v="0"/>
    <n v="15"/>
    <x v="2"/>
    <s v="Yes"/>
    <n v="30"/>
    <s v="Yes"/>
    <n v="20"/>
    <n v="20"/>
    <x v="0"/>
    <x v="8"/>
  </r>
  <r>
    <n v="3334"/>
    <s v="Rafaela Silva"/>
    <x v="2"/>
    <d v="2024-06-08T00:00:00"/>
    <x v="1"/>
    <n v="10"/>
    <x v="2"/>
    <s v="No"/>
    <s v="-"/>
    <s v="Yes"/>
    <n v="20"/>
    <n v="12"/>
    <x v="2"/>
    <x v="10"/>
  </r>
  <r>
    <n v="3335"/>
    <s v="Samantha Moraes"/>
    <x v="1"/>
    <d v="2024-06-09T00:00:00"/>
    <x v="0"/>
    <n v="5"/>
    <x v="0"/>
    <s v="No"/>
    <s v="-"/>
    <s v="No"/>
    <n v="0"/>
    <n v="2"/>
    <x v="1"/>
    <x v="11"/>
  </r>
  <r>
    <n v="3336"/>
    <s v="Tatiana Rocha"/>
    <x v="1"/>
    <d v="2024-06-10T00:00:00"/>
    <x v="0"/>
    <n v="5"/>
    <x v="0"/>
    <s v="No"/>
    <s v="-"/>
    <s v="No"/>
    <n v="0"/>
    <n v="0"/>
    <x v="1"/>
    <x v="1"/>
  </r>
  <r>
    <n v="3337"/>
    <s v="Ulisses Tavares"/>
    <x v="0"/>
    <d v="2024-06-11T00:00:00"/>
    <x v="1"/>
    <n v="15"/>
    <x v="2"/>
    <s v="Yes"/>
    <n v="30"/>
    <s v="Yes"/>
    <n v="20"/>
    <n v="7"/>
    <x v="0"/>
    <x v="12"/>
  </r>
  <r>
    <n v="3338"/>
    <s v="Víctor Lemos"/>
    <x v="2"/>
    <d v="2024-06-12T00:00:00"/>
    <x v="0"/>
    <n v="10"/>
    <x v="1"/>
    <s v="No"/>
    <s v="-"/>
    <s v="Yes"/>
    <n v="20"/>
    <n v="10"/>
    <x v="2"/>
    <x v="2"/>
  </r>
  <r>
    <n v="3339"/>
    <s v="Wilma Barros"/>
    <x v="1"/>
    <d v="2024-06-13T00:00:00"/>
    <x v="1"/>
    <n v="5"/>
    <x v="2"/>
    <s v="No"/>
    <s v="-"/>
    <s v="No"/>
    <n v="0"/>
    <n v="1"/>
    <x v="1"/>
    <x v="4"/>
  </r>
  <r>
    <n v="3340"/>
    <s v="Xavier Nascimento"/>
    <x v="0"/>
    <d v="2024-06-14T00:00:00"/>
    <x v="0"/>
    <n v="15"/>
    <x v="0"/>
    <s v="Yes"/>
    <n v="30"/>
    <s v="Yes"/>
    <n v="20"/>
    <n v="15"/>
    <x v="0"/>
    <x v="14"/>
  </r>
  <r>
    <n v="3341"/>
    <s v="Yago Pereira"/>
    <x v="2"/>
    <d v="2024-06-15T00:00:00"/>
    <x v="1"/>
    <n v="10"/>
    <x v="0"/>
    <s v="No"/>
    <s v="-"/>
    <s v="Yes"/>
    <n v="20"/>
    <n v="5"/>
    <x v="2"/>
    <x v="13"/>
  </r>
  <r>
    <n v="3342"/>
    <s v="Zilda Ferreira"/>
    <x v="1"/>
    <d v="2024-06-16T00:00:00"/>
    <x v="0"/>
    <n v="5"/>
    <x v="1"/>
    <s v="No"/>
    <s v="-"/>
    <s v="No"/>
    <n v="0"/>
    <n v="0"/>
    <x v="1"/>
    <x v="1"/>
  </r>
  <r>
    <n v="3343"/>
    <s v="Amanda Lopes"/>
    <x v="0"/>
    <d v="2024-06-17T00:00:00"/>
    <x v="1"/>
    <n v="15"/>
    <x v="2"/>
    <s v="Yes"/>
    <n v="30"/>
    <s v="Yes"/>
    <n v="20"/>
    <n v="20"/>
    <x v="0"/>
    <x v="8"/>
  </r>
  <r>
    <n v="3344"/>
    <s v="Bruno Miranda"/>
    <x v="2"/>
    <d v="2024-06-18T00:00:00"/>
    <x v="0"/>
    <n v="10"/>
    <x v="2"/>
    <s v="No"/>
    <s v="-"/>
    <s v="Yes"/>
    <n v="20"/>
    <n v="12"/>
    <x v="2"/>
    <x v="10"/>
  </r>
  <r>
    <n v="3345"/>
    <s v="Célia Torres"/>
    <x v="1"/>
    <d v="2024-06-19T00:00:00"/>
    <x v="1"/>
    <n v="5"/>
    <x v="0"/>
    <s v="No"/>
    <s v="-"/>
    <s v="No"/>
    <n v="0"/>
    <n v="2"/>
    <x v="1"/>
    <x v="11"/>
  </r>
  <r>
    <n v="3346"/>
    <s v="Diogo Souza"/>
    <x v="0"/>
    <d v="2024-06-20T00:00:00"/>
    <x v="0"/>
    <n v="15"/>
    <x v="1"/>
    <s v="Yes"/>
    <n v="30"/>
    <s v="Yes"/>
    <n v="20"/>
    <n v="5"/>
    <x v="0"/>
    <x v="0"/>
  </r>
  <r>
    <n v="3347"/>
    <s v="Elisa Castro"/>
    <x v="2"/>
    <d v="2024-06-21T00:00:00"/>
    <x v="1"/>
    <n v="10"/>
    <x v="0"/>
    <s v="No"/>
    <s v="-"/>
    <s v="Yes"/>
    <n v="20"/>
    <n v="10"/>
    <x v="2"/>
    <x v="2"/>
  </r>
  <r>
    <n v="3348"/>
    <s v="Fátima Lima"/>
    <x v="1"/>
    <d v="2024-06-22T00:00:00"/>
    <x v="0"/>
    <n v="5"/>
    <x v="2"/>
    <s v="No"/>
    <s v="-"/>
    <s v="No"/>
    <n v="0"/>
    <n v="0"/>
    <x v="1"/>
    <x v="1"/>
  </r>
  <r>
    <n v="3349"/>
    <s v="Geraldo Ribeiro"/>
    <x v="0"/>
    <d v="2024-06-23T00:00:00"/>
    <x v="1"/>
    <n v="15"/>
    <x v="0"/>
    <s v="Yes"/>
    <n v="30"/>
    <s v="Yes"/>
    <n v="20"/>
    <n v="3"/>
    <x v="0"/>
    <x v="3"/>
  </r>
  <r>
    <n v="3350"/>
    <s v="Hélio Martins"/>
    <x v="2"/>
    <d v="2024-06-24T00:00:00"/>
    <x v="0"/>
    <n v="10"/>
    <x v="1"/>
    <s v="No"/>
    <s v="-"/>
    <s v="Yes"/>
    <n v="20"/>
    <n v="15"/>
    <x v="2"/>
    <x v="7"/>
  </r>
  <r>
    <n v="3351"/>
    <s v="Íris Santos"/>
    <x v="1"/>
    <d v="2024-06-25T00:00:00"/>
    <x v="1"/>
    <n v="5"/>
    <x v="0"/>
    <s v="No"/>
    <s v="-"/>
    <s v="No"/>
    <n v="0"/>
    <n v="1"/>
    <x v="1"/>
    <x v="4"/>
  </r>
  <r>
    <n v="3352"/>
    <s v="João Marcelo"/>
    <x v="0"/>
    <d v="2024-06-26T00:00:00"/>
    <x v="0"/>
    <n v="15"/>
    <x v="2"/>
    <s v="Yes"/>
    <n v="30"/>
    <s v="Yes"/>
    <n v="20"/>
    <n v="7"/>
    <x v="0"/>
    <x v="12"/>
  </r>
  <r>
    <n v="3353"/>
    <s v="Larissa Gomes"/>
    <x v="2"/>
    <d v="2024-06-27T00:00:00"/>
    <x v="1"/>
    <n v="10"/>
    <x v="0"/>
    <s v="No"/>
    <s v="-"/>
    <s v="Yes"/>
    <n v="20"/>
    <n v="10"/>
    <x v="2"/>
    <x v="2"/>
  </r>
  <r>
    <n v="3354"/>
    <s v="Márcio Silva"/>
    <x v="1"/>
    <d v="2024-06-28T00:00:00"/>
    <x v="0"/>
    <n v="5"/>
    <x v="1"/>
    <s v="No"/>
    <s v="-"/>
    <s v="No"/>
    <n v="0"/>
    <n v="0"/>
    <x v="1"/>
    <x v="1"/>
  </r>
  <r>
    <n v="3355"/>
    <s v="Nadia Costa"/>
    <x v="0"/>
    <d v="2024-06-29T00:00:00"/>
    <x v="1"/>
    <n v="15"/>
    <x v="0"/>
    <s v="Yes"/>
    <n v="30"/>
    <s v="Yes"/>
    <n v="20"/>
    <n v="20"/>
    <x v="0"/>
    <x v="8"/>
  </r>
  <r>
    <n v="3356"/>
    <s v="Oscar Almeida"/>
    <x v="2"/>
    <d v="2024-06-30T00:00:00"/>
    <x v="0"/>
    <n v="10"/>
    <x v="2"/>
    <s v="No"/>
    <s v="-"/>
    <s v="Yes"/>
    <n v="20"/>
    <n v="15"/>
    <x v="2"/>
    <x v="7"/>
  </r>
  <r>
    <n v="3357"/>
    <s v="Patricia Soares"/>
    <x v="1"/>
    <d v="2024-07-01T00:00:00"/>
    <x v="1"/>
    <n v="5"/>
    <x v="0"/>
    <s v="No"/>
    <s v="-"/>
    <s v="No"/>
    <n v="0"/>
    <n v="1"/>
    <x v="1"/>
    <x v="4"/>
  </r>
  <r>
    <n v="3358"/>
    <s v="Quênia Barros"/>
    <x v="0"/>
    <d v="2024-07-02T00:00:00"/>
    <x v="0"/>
    <n v="15"/>
    <x v="1"/>
    <s v="Yes"/>
    <n v="30"/>
    <s v="Yes"/>
    <n v="20"/>
    <n v="3"/>
    <x v="0"/>
    <x v="3"/>
  </r>
  <r>
    <n v="3359"/>
    <s v="Rafael Torres"/>
    <x v="2"/>
    <d v="2024-07-03T00:00:00"/>
    <x v="1"/>
    <n v="10"/>
    <x v="0"/>
    <s v="No"/>
    <s v="-"/>
    <s v="Yes"/>
    <n v="20"/>
    <n v="10"/>
    <x v="2"/>
    <x v="2"/>
  </r>
  <r>
    <n v="3360"/>
    <s v="Silvia Nascimento"/>
    <x v="1"/>
    <d v="2024-07-04T00:00:00"/>
    <x v="0"/>
    <n v="5"/>
    <x v="2"/>
    <s v="No"/>
    <s v="-"/>
    <s v="No"/>
    <n v="0"/>
    <n v="0"/>
    <x v="1"/>
    <x v="1"/>
  </r>
  <r>
    <n v="3361"/>
    <s v="Tiago Mendes"/>
    <x v="0"/>
    <d v="2024-07-05T00:00:00"/>
    <x v="1"/>
    <n v="15"/>
    <x v="0"/>
    <s v="Yes"/>
    <n v="30"/>
    <s v="Yes"/>
    <n v="20"/>
    <n v="15"/>
    <x v="0"/>
    <x v="14"/>
  </r>
  <r>
    <n v="3362"/>
    <s v="Ursula Silva"/>
    <x v="2"/>
    <d v="2024-07-06T00:00:00"/>
    <x v="0"/>
    <n v="10"/>
    <x v="1"/>
    <s v="No"/>
    <s v="-"/>
    <s v="Yes"/>
    <n v="20"/>
    <n v="15"/>
    <x v="2"/>
    <x v="7"/>
  </r>
  <r>
    <n v="3363"/>
    <s v="Vanessa Moraes"/>
    <x v="1"/>
    <d v="2024-07-07T00:00:00"/>
    <x v="1"/>
    <n v="5"/>
    <x v="0"/>
    <s v="No"/>
    <s v="-"/>
    <s v="No"/>
    <n v="0"/>
    <n v="1"/>
    <x v="1"/>
    <x v="4"/>
  </r>
  <r>
    <n v="3364"/>
    <s v="Waldir Junior"/>
    <x v="0"/>
    <d v="2024-07-08T00:00:00"/>
    <x v="0"/>
    <n v="15"/>
    <x v="2"/>
    <s v="Yes"/>
    <n v="30"/>
    <s v="Yes"/>
    <n v="20"/>
    <n v="7"/>
    <x v="0"/>
    <x v="12"/>
  </r>
  <r>
    <n v="3365"/>
    <s v="Xavier Lopes"/>
    <x v="2"/>
    <d v="2024-07-09T00:00:00"/>
    <x v="1"/>
    <n v="10"/>
    <x v="0"/>
    <s v="No"/>
    <s v="-"/>
    <s v="Yes"/>
    <n v="20"/>
    <n v="10"/>
    <x v="2"/>
    <x v="2"/>
  </r>
  <r>
    <n v="3366"/>
    <s v="Yolanda Freitas"/>
    <x v="1"/>
    <d v="2024-07-10T00:00:00"/>
    <x v="0"/>
    <n v="5"/>
    <x v="0"/>
    <s v="No"/>
    <s v="-"/>
    <s v="No"/>
    <n v="0"/>
    <n v="0"/>
    <x v="1"/>
    <x v="1"/>
  </r>
  <r>
    <n v="3367"/>
    <s v="Zacarias Nunes"/>
    <x v="0"/>
    <d v="2024-07-11T00:00:00"/>
    <x v="1"/>
    <n v="15"/>
    <x v="2"/>
    <s v="Yes"/>
    <n v="30"/>
    <s v="Yes"/>
    <n v="20"/>
    <n v="7"/>
    <x v="0"/>
    <x v="12"/>
  </r>
  <r>
    <n v="3368"/>
    <s v="Ana Clara Barreto"/>
    <x v="2"/>
    <d v="2024-07-12T00:00:00"/>
    <x v="0"/>
    <n v="10"/>
    <x v="1"/>
    <s v="No"/>
    <s v="-"/>
    <s v="Yes"/>
    <n v="20"/>
    <n v="10"/>
    <x v="2"/>
    <x v="2"/>
  </r>
  <r>
    <n v="3369"/>
    <s v="Bruno Henrique"/>
    <x v="1"/>
    <d v="2024-07-13T00:00:00"/>
    <x v="1"/>
    <n v="5"/>
    <x v="2"/>
    <s v="No"/>
    <s v="-"/>
    <s v="No"/>
    <n v="0"/>
    <n v="1"/>
    <x v="1"/>
    <x v="4"/>
  </r>
  <r>
    <n v="3370"/>
    <s v="Carlos Eduardo"/>
    <x v="0"/>
    <d v="2024-07-14T00:00:00"/>
    <x v="0"/>
    <n v="15"/>
    <x v="0"/>
    <s v="Yes"/>
    <n v="30"/>
    <s v="Yes"/>
    <n v="20"/>
    <n v="15"/>
    <x v="0"/>
    <x v="14"/>
  </r>
  <r>
    <n v="3371"/>
    <s v="Débora Lima"/>
    <x v="2"/>
    <d v="2024-07-15T00:00:00"/>
    <x v="1"/>
    <n v="10"/>
    <x v="0"/>
    <s v="No"/>
    <s v="-"/>
    <s v="Yes"/>
    <n v="20"/>
    <n v="5"/>
    <x v="2"/>
    <x v="13"/>
  </r>
  <r>
    <n v="3372"/>
    <s v="Elisa Neves"/>
    <x v="1"/>
    <d v="2024-07-16T00:00:00"/>
    <x v="0"/>
    <n v="5"/>
    <x v="1"/>
    <s v="No"/>
    <s v="-"/>
    <s v="No"/>
    <n v="0"/>
    <n v="0"/>
    <x v="1"/>
    <x v="1"/>
  </r>
  <r>
    <n v="3373"/>
    <s v="Fabiano Gomes"/>
    <x v="0"/>
    <d v="2024-07-17T00:00:00"/>
    <x v="1"/>
    <n v="15"/>
    <x v="2"/>
    <s v="Yes"/>
    <n v="30"/>
    <s v="Yes"/>
    <n v="20"/>
    <n v="20"/>
    <x v="0"/>
    <x v="8"/>
  </r>
  <r>
    <n v="3374"/>
    <s v="Gisele Oliveira"/>
    <x v="2"/>
    <d v="2024-07-18T00:00:00"/>
    <x v="0"/>
    <n v="10"/>
    <x v="2"/>
    <s v="No"/>
    <s v="-"/>
    <s v="Yes"/>
    <n v="20"/>
    <n v="12"/>
    <x v="2"/>
    <x v="10"/>
  </r>
  <r>
    <n v="3375"/>
    <s v="Héctor Silva"/>
    <x v="1"/>
    <d v="2024-07-19T00:00:00"/>
    <x v="1"/>
    <n v="5"/>
    <x v="0"/>
    <s v="No"/>
    <s v="-"/>
    <s v="No"/>
    <n v="0"/>
    <n v="2"/>
    <x v="1"/>
    <x v="11"/>
  </r>
  <r>
    <n v="3376"/>
    <s v="Igor Martins"/>
    <x v="0"/>
    <d v="2024-07-20T00:00:00"/>
    <x v="0"/>
    <n v="15"/>
    <x v="1"/>
    <s v="Yes"/>
    <n v="30"/>
    <s v="Yes"/>
    <n v="20"/>
    <n v="5"/>
    <x v="0"/>
    <x v="0"/>
  </r>
  <r>
    <n v="3377"/>
    <s v="Joana Figueiredo"/>
    <x v="2"/>
    <d v="2024-07-21T00:00:00"/>
    <x v="1"/>
    <n v="10"/>
    <x v="0"/>
    <s v="No"/>
    <s v="-"/>
    <s v="Yes"/>
    <n v="20"/>
    <n v="10"/>
    <x v="2"/>
    <x v="2"/>
  </r>
  <r>
    <n v="3378"/>
    <s v="Kleber Machado"/>
    <x v="1"/>
    <d v="2024-07-22T00:00:00"/>
    <x v="0"/>
    <n v="5"/>
    <x v="2"/>
    <s v="No"/>
    <s v="-"/>
    <s v="No"/>
    <n v="0"/>
    <n v="0"/>
    <x v="1"/>
    <x v="1"/>
  </r>
  <r>
    <n v="3379"/>
    <s v="Luciana Santos"/>
    <x v="0"/>
    <d v="2024-07-23T00:00:00"/>
    <x v="1"/>
    <n v="15"/>
    <x v="0"/>
    <s v="Yes"/>
    <n v="30"/>
    <s v="Yes"/>
    <n v="20"/>
    <n v="3"/>
    <x v="0"/>
    <x v="3"/>
  </r>
  <r>
    <n v="3380"/>
    <s v="Marcos Teixeira"/>
    <x v="2"/>
    <d v="2024-07-24T00:00:00"/>
    <x v="0"/>
    <n v="10"/>
    <x v="1"/>
    <s v="No"/>
    <s v="-"/>
    <s v="Yes"/>
    <n v="20"/>
    <n v="15"/>
    <x v="2"/>
    <x v="7"/>
  </r>
  <r>
    <n v="3381"/>
    <s v="Natalia Costa"/>
    <x v="1"/>
    <d v="2024-07-25T00:00:00"/>
    <x v="1"/>
    <n v="5"/>
    <x v="0"/>
    <s v="No"/>
    <s v="-"/>
    <s v="No"/>
    <n v="0"/>
    <n v="1"/>
    <x v="1"/>
    <x v="4"/>
  </r>
  <r>
    <n v="3382"/>
    <s v="Oscar Ribeiro"/>
    <x v="0"/>
    <d v="2024-07-26T00:00:00"/>
    <x v="0"/>
    <n v="15"/>
    <x v="2"/>
    <s v="Yes"/>
    <n v="30"/>
    <s v="Yes"/>
    <n v="20"/>
    <n v="7"/>
    <x v="0"/>
    <x v="12"/>
  </r>
  <r>
    <n v="3383"/>
    <s v="Patricia Almeida"/>
    <x v="2"/>
    <d v="2024-07-27T00:00:00"/>
    <x v="1"/>
    <n v="10"/>
    <x v="0"/>
    <s v="No"/>
    <s v="-"/>
    <s v="Yes"/>
    <n v="20"/>
    <n v="10"/>
    <x v="2"/>
    <x v="2"/>
  </r>
  <r>
    <n v="3384"/>
    <s v="Quirino Junior"/>
    <x v="1"/>
    <d v="2024-07-28T00:00:00"/>
    <x v="0"/>
    <n v="5"/>
    <x v="1"/>
    <s v="No"/>
    <s v="-"/>
    <s v="No"/>
    <n v="0"/>
    <n v="0"/>
    <x v="1"/>
    <x v="1"/>
  </r>
  <r>
    <n v="3385"/>
    <s v="Renata Machado"/>
    <x v="0"/>
    <d v="2024-07-29T00:00:00"/>
    <x v="1"/>
    <n v="15"/>
    <x v="0"/>
    <s v="Yes"/>
    <n v="30"/>
    <s v="Yes"/>
    <n v="20"/>
    <n v="20"/>
    <x v="0"/>
    <x v="8"/>
  </r>
  <r>
    <n v="3386"/>
    <s v="Sônia Alves"/>
    <x v="2"/>
    <d v="2024-07-30T00:00:00"/>
    <x v="0"/>
    <n v="10"/>
    <x v="2"/>
    <s v="No"/>
    <s v="-"/>
    <s v="Yes"/>
    <n v="20"/>
    <n v="15"/>
    <x v="2"/>
    <x v="7"/>
  </r>
  <r>
    <n v="3387"/>
    <s v="Tiago Nunes"/>
    <x v="1"/>
    <d v="2024-07-31T00:00:00"/>
    <x v="1"/>
    <n v="5"/>
    <x v="0"/>
    <s v="No"/>
    <s v="-"/>
    <s v="No"/>
    <n v="0"/>
    <n v="1"/>
    <x v="1"/>
    <x v="4"/>
  </r>
  <r>
    <n v="3388"/>
    <s v="Ulysses Pereira"/>
    <x v="0"/>
    <d v="2024-08-01T00:00:00"/>
    <x v="0"/>
    <n v="15"/>
    <x v="1"/>
    <s v="Yes"/>
    <n v="30"/>
    <s v="Yes"/>
    <n v="20"/>
    <n v="3"/>
    <x v="0"/>
    <x v="3"/>
  </r>
  <r>
    <n v="3389"/>
    <s v="Vanessa Lima"/>
    <x v="2"/>
    <d v="2024-08-02T00:00:00"/>
    <x v="1"/>
    <n v="10"/>
    <x v="0"/>
    <s v="No"/>
    <s v="-"/>
    <s v="Yes"/>
    <n v="20"/>
    <n v="10"/>
    <x v="2"/>
    <x v="2"/>
  </r>
  <r>
    <n v="3390"/>
    <s v="Wagner Santos"/>
    <x v="1"/>
    <d v="2024-08-03T00:00:00"/>
    <x v="0"/>
    <n v="5"/>
    <x v="2"/>
    <s v="No"/>
    <s v="-"/>
    <s v="No"/>
    <n v="0"/>
    <n v="0"/>
    <x v="1"/>
    <x v="1"/>
  </r>
  <r>
    <n v="3391"/>
    <s v="Xuxa Meneghel"/>
    <x v="0"/>
    <d v="2024-08-04T00:00:00"/>
    <x v="1"/>
    <n v="15"/>
    <x v="0"/>
    <s v="Yes"/>
    <n v="30"/>
    <s v="Yes"/>
    <n v="20"/>
    <n v="15"/>
    <x v="0"/>
    <x v="14"/>
  </r>
  <r>
    <n v="3392"/>
    <s v="Yasmin Silva"/>
    <x v="2"/>
    <d v="2024-08-05T00:00:00"/>
    <x v="0"/>
    <n v="10"/>
    <x v="1"/>
    <s v="No"/>
    <s v="-"/>
    <s v="Yes"/>
    <n v="20"/>
    <n v="15"/>
    <x v="2"/>
    <x v="7"/>
  </r>
  <r>
    <n v="3393"/>
    <s v="Zacarias de Souza"/>
    <x v="1"/>
    <d v="2024-08-06T00:00:00"/>
    <x v="1"/>
    <n v="5"/>
    <x v="0"/>
    <s v="No"/>
    <s v="-"/>
    <s v="No"/>
    <n v="0"/>
    <n v="1"/>
    <x v="1"/>
    <x v="4"/>
  </r>
  <r>
    <n v="3394"/>
    <s v="André Lima"/>
    <x v="0"/>
    <d v="2024-08-07T00:00:00"/>
    <x v="0"/>
    <n v="15"/>
    <x v="2"/>
    <s v="Yes"/>
    <n v="30"/>
    <s v="Yes"/>
    <n v="20"/>
    <n v="7"/>
    <x v="0"/>
    <x v="12"/>
  </r>
  <r>
    <n v="3395"/>
    <s v="Bianca Freitas"/>
    <x v="2"/>
    <d v="2024-08-08T00:00:00"/>
    <x v="1"/>
    <n v="10"/>
    <x v="0"/>
    <s v="No"/>
    <s v="-"/>
    <s v="Yes"/>
    <n v="20"/>
    <n v="10"/>
    <x v="2"/>
    <x v="2"/>
  </r>
  <r>
    <n v="3396"/>
    <s v="Caio Mendes"/>
    <x v="1"/>
    <d v="2024-08-09T00:00:00"/>
    <x v="0"/>
    <n v="5"/>
    <x v="1"/>
    <s v="No"/>
    <s v="-"/>
    <s v="No"/>
    <n v="0"/>
    <n v="0"/>
    <x v="1"/>
    <x v="1"/>
  </r>
  <r>
    <n v="3397"/>
    <s v="Daniela Moura"/>
    <x v="0"/>
    <d v="2024-08-10T00:00:00"/>
    <x v="1"/>
    <n v="15"/>
    <x v="0"/>
    <s v="Yes"/>
    <n v="30"/>
    <s v="Yes"/>
    <n v="20"/>
    <n v="20"/>
    <x v="0"/>
    <x v="8"/>
  </r>
  <r>
    <n v="3398"/>
    <s v="Eduardo Costa"/>
    <x v="2"/>
    <d v="2024-08-11T00:00:00"/>
    <x v="0"/>
    <n v="10"/>
    <x v="2"/>
    <s v="No"/>
    <s v="-"/>
    <s v="Yes"/>
    <n v="20"/>
    <n v="15"/>
    <x v="2"/>
    <x v="7"/>
  </r>
  <r>
    <n v="3399"/>
    <s v="Fernanda Gomes"/>
    <x v="1"/>
    <d v="2024-08-12T00:00:00"/>
    <x v="1"/>
    <n v="5"/>
    <x v="0"/>
    <s v="No"/>
    <s v="-"/>
    <s v="No"/>
    <n v="0"/>
    <n v="1"/>
    <x v="1"/>
    <x v="4"/>
  </r>
  <r>
    <n v="3400"/>
    <s v="Guilherme Souza"/>
    <x v="0"/>
    <d v="2024-08-13T00:00:00"/>
    <x v="0"/>
    <n v="15"/>
    <x v="1"/>
    <s v="Yes"/>
    <n v="30"/>
    <s v="Yes"/>
    <n v="20"/>
    <n v="5"/>
    <x v="0"/>
    <x v="0"/>
  </r>
  <r>
    <n v="3401"/>
    <s v="Helena Ribeiro"/>
    <x v="2"/>
    <d v="2024-08-14T00:00:00"/>
    <x v="1"/>
    <n v="10"/>
    <x v="0"/>
    <s v="No"/>
    <s v="-"/>
    <s v="Yes"/>
    <n v="20"/>
    <n v="10"/>
    <x v="2"/>
    <x v="2"/>
  </r>
  <r>
    <n v="3402"/>
    <s v="Igor Santos"/>
    <x v="1"/>
    <d v="2024-08-15T00:00:00"/>
    <x v="0"/>
    <n v="5"/>
    <x v="2"/>
    <s v="No"/>
    <s v="-"/>
    <s v="No"/>
    <n v="0"/>
    <n v="0"/>
    <x v="1"/>
    <x v="1"/>
  </r>
  <r>
    <n v="3403"/>
    <s v="João Carvalho"/>
    <x v="0"/>
    <d v="2024-08-16T00:00:00"/>
    <x v="1"/>
    <n v="15"/>
    <x v="0"/>
    <s v="Yes"/>
    <n v="30"/>
    <s v="Yes"/>
    <n v="20"/>
    <n v="3"/>
    <x v="0"/>
    <x v="3"/>
  </r>
  <r>
    <n v="3404"/>
    <s v="Klara Fagundes"/>
    <x v="2"/>
    <d v="2024-08-17T00:00:00"/>
    <x v="0"/>
    <n v="10"/>
    <x v="1"/>
    <s v="No"/>
    <s v="-"/>
    <s v="Yes"/>
    <n v="20"/>
    <n v="15"/>
    <x v="2"/>
    <x v="7"/>
  </r>
  <r>
    <n v="3405"/>
    <s v="Lúcia Mendonça"/>
    <x v="1"/>
    <d v="2024-08-18T00:00:00"/>
    <x v="1"/>
    <n v="5"/>
    <x v="0"/>
    <s v="No"/>
    <s v="-"/>
    <s v="No"/>
    <n v="0"/>
    <n v="1"/>
    <x v="1"/>
    <x v="4"/>
  </r>
  <r>
    <n v="3406"/>
    <s v="Marcelo Novaes"/>
    <x v="1"/>
    <d v="2024-08-19T00:00:00"/>
    <x v="0"/>
    <n v="5"/>
    <x v="0"/>
    <s v="No"/>
    <s v="-"/>
    <s v="No"/>
    <n v="0"/>
    <n v="0"/>
    <x v="1"/>
    <x v="1"/>
  </r>
  <r>
    <n v="3407"/>
    <s v="Nina Pacheco"/>
    <x v="0"/>
    <d v="2024-08-20T00:00:00"/>
    <x v="1"/>
    <n v="15"/>
    <x v="2"/>
    <s v="Yes"/>
    <n v="30"/>
    <s v="Yes"/>
    <n v="20"/>
    <n v="7"/>
    <x v="0"/>
    <x v="12"/>
  </r>
  <r>
    <n v="3408"/>
    <s v="Olívia Rios"/>
    <x v="2"/>
    <d v="2024-08-21T00:00:00"/>
    <x v="0"/>
    <n v="10"/>
    <x v="1"/>
    <s v="No"/>
    <s v="-"/>
    <s v="Yes"/>
    <n v="20"/>
    <n v="10"/>
    <x v="2"/>
    <x v="2"/>
  </r>
  <r>
    <n v="3409"/>
    <s v="Paulo Quintana"/>
    <x v="1"/>
    <d v="2024-08-22T00:00:00"/>
    <x v="1"/>
    <n v="5"/>
    <x v="2"/>
    <s v="No"/>
    <s v="-"/>
    <s v="No"/>
    <n v="0"/>
    <n v="1"/>
    <x v="1"/>
    <x v="4"/>
  </r>
  <r>
    <n v="3410"/>
    <s v="Raquel Domingos"/>
    <x v="0"/>
    <d v="2024-08-23T00:00:00"/>
    <x v="0"/>
    <n v="15"/>
    <x v="0"/>
    <s v="Yes"/>
    <n v="30"/>
    <s v="Yes"/>
    <n v="20"/>
    <n v="15"/>
    <x v="0"/>
    <x v="14"/>
  </r>
  <r>
    <n v="3411"/>
    <s v="Samuel Viana"/>
    <x v="2"/>
    <d v="2024-08-24T00:00:00"/>
    <x v="1"/>
    <n v="10"/>
    <x v="0"/>
    <s v="No"/>
    <s v="-"/>
    <s v="Yes"/>
    <n v="20"/>
    <n v="5"/>
    <x v="2"/>
    <x v="13"/>
  </r>
  <r>
    <n v="3412"/>
    <s v="Tatiane Rocha"/>
    <x v="1"/>
    <d v="2024-08-25T00:00:00"/>
    <x v="0"/>
    <n v="5"/>
    <x v="1"/>
    <s v="No"/>
    <s v="-"/>
    <s v="No"/>
    <n v="0"/>
    <n v="0"/>
    <x v="1"/>
    <x v="1"/>
  </r>
  <r>
    <n v="3413"/>
    <s v="Ulysses Farias"/>
    <x v="0"/>
    <d v="2024-08-26T00:00:00"/>
    <x v="1"/>
    <n v="15"/>
    <x v="2"/>
    <s v="Yes"/>
    <n v="30"/>
    <s v="Yes"/>
    <n v="20"/>
    <n v="20"/>
    <x v="0"/>
    <x v="8"/>
  </r>
  <r>
    <n v="3414"/>
    <s v="Vanessa Moreira"/>
    <x v="2"/>
    <d v="2024-08-27T00:00:00"/>
    <x v="0"/>
    <n v="10"/>
    <x v="2"/>
    <s v="No"/>
    <s v="-"/>
    <s v="Yes"/>
    <n v="20"/>
    <n v="12"/>
    <x v="2"/>
    <x v="10"/>
  </r>
  <r>
    <n v="3415"/>
    <s v="William Carvalho"/>
    <x v="1"/>
    <d v="2024-08-28T00:00:00"/>
    <x v="1"/>
    <n v="5"/>
    <x v="0"/>
    <s v="No"/>
    <s v="-"/>
    <s v="No"/>
    <n v="0"/>
    <n v="2"/>
    <x v="1"/>
    <x v="11"/>
  </r>
  <r>
    <n v="3416"/>
    <s v="Ximena Barros"/>
    <x v="0"/>
    <d v="2024-08-29T00:00:00"/>
    <x v="0"/>
    <n v="15"/>
    <x v="1"/>
    <s v="Yes"/>
    <n v="30"/>
    <s v="Yes"/>
    <n v="20"/>
    <n v="5"/>
    <x v="0"/>
    <x v="0"/>
  </r>
  <r>
    <n v="3417"/>
    <s v="Yara Machado"/>
    <x v="2"/>
    <d v="2024-08-30T00:00:00"/>
    <x v="1"/>
    <n v="10"/>
    <x v="0"/>
    <s v="No"/>
    <s v="-"/>
    <s v="Yes"/>
    <n v="20"/>
    <n v="10"/>
    <x v="2"/>
    <x v="2"/>
  </r>
  <r>
    <n v="3418"/>
    <s v="Zacarias Costa"/>
    <x v="1"/>
    <d v="2024-08-31T00:00:00"/>
    <x v="0"/>
    <n v="5"/>
    <x v="2"/>
    <s v="No"/>
    <s v="-"/>
    <s v="No"/>
    <n v="0"/>
    <n v="0"/>
    <x v="1"/>
    <x v="1"/>
  </r>
  <r>
    <n v="3419"/>
    <s v="André Lopes"/>
    <x v="0"/>
    <d v="2024-09-01T00:00:00"/>
    <x v="1"/>
    <n v="15"/>
    <x v="0"/>
    <s v="Yes"/>
    <n v="30"/>
    <s v="Yes"/>
    <n v="20"/>
    <n v="3"/>
    <x v="0"/>
    <x v="3"/>
  </r>
  <r>
    <n v="3420"/>
    <s v="Beatriz Souza"/>
    <x v="2"/>
    <d v="2024-09-02T00:00:00"/>
    <x v="0"/>
    <n v="10"/>
    <x v="1"/>
    <s v="No"/>
    <s v="-"/>
    <s v="Yes"/>
    <n v="20"/>
    <n v="15"/>
    <x v="2"/>
    <x v="7"/>
  </r>
  <r>
    <n v="3421"/>
    <s v="Caio Pereira"/>
    <x v="1"/>
    <d v="2024-09-03T00:00:00"/>
    <x v="1"/>
    <n v="5"/>
    <x v="0"/>
    <s v="No"/>
    <s v="-"/>
    <s v="No"/>
    <n v="0"/>
    <n v="1"/>
    <x v="1"/>
    <x v="4"/>
  </r>
  <r>
    <n v="3422"/>
    <s v="Daniela Araújo"/>
    <x v="0"/>
    <d v="2024-09-04T00:00:00"/>
    <x v="0"/>
    <n v="15"/>
    <x v="2"/>
    <s v="Yes"/>
    <n v="30"/>
    <s v="Yes"/>
    <n v="20"/>
    <n v="7"/>
    <x v="0"/>
    <x v="12"/>
  </r>
  <r>
    <n v="3423"/>
    <s v="Eduardo Santos"/>
    <x v="2"/>
    <d v="2024-09-05T00:00:00"/>
    <x v="1"/>
    <n v="10"/>
    <x v="0"/>
    <s v="No"/>
    <s v="-"/>
    <s v="Yes"/>
    <n v="20"/>
    <n v="10"/>
    <x v="2"/>
    <x v="2"/>
  </r>
  <r>
    <n v="3424"/>
    <s v="Fernanda Lima"/>
    <x v="1"/>
    <d v="2024-09-06T00:00:00"/>
    <x v="0"/>
    <n v="5"/>
    <x v="1"/>
    <s v="No"/>
    <s v="-"/>
    <s v="No"/>
    <n v="0"/>
    <n v="0"/>
    <x v="1"/>
    <x v="1"/>
  </r>
  <r>
    <n v="3425"/>
    <s v="Gabriel Teixeira"/>
    <x v="0"/>
    <d v="2024-09-07T00:00:00"/>
    <x v="1"/>
    <n v="15"/>
    <x v="0"/>
    <s v="Yes"/>
    <n v="30"/>
    <s v="Yes"/>
    <n v="20"/>
    <n v="20"/>
    <x v="0"/>
    <x v="8"/>
  </r>
  <r>
    <n v="3426"/>
    <s v="Helena Ribeiro"/>
    <x v="2"/>
    <d v="2024-09-08T00:00:00"/>
    <x v="0"/>
    <n v="10"/>
    <x v="2"/>
    <s v="No"/>
    <s v="-"/>
    <s v="Yes"/>
    <n v="20"/>
    <n v="15"/>
    <x v="2"/>
    <x v="7"/>
  </r>
  <r>
    <n v="3427"/>
    <s v="Igor Mendes"/>
    <x v="1"/>
    <d v="2024-09-09T00:00:00"/>
    <x v="1"/>
    <n v="5"/>
    <x v="0"/>
    <s v="No"/>
    <s v="-"/>
    <s v="No"/>
    <n v="0"/>
    <n v="1"/>
    <x v="1"/>
    <x v="4"/>
  </r>
  <r>
    <n v="3428"/>
    <s v="Joana Silveira"/>
    <x v="0"/>
    <d v="2024-09-10T00:00:00"/>
    <x v="0"/>
    <n v="15"/>
    <x v="1"/>
    <s v="Yes"/>
    <n v="30"/>
    <s v="Yes"/>
    <n v="20"/>
    <n v="3"/>
    <x v="0"/>
    <x v="3"/>
  </r>
  <r>
    <n v="3429"/>
    <s v="Lucas Martins"/>
    <x v="2"/>
    <d v="2024-09-11T00:00:00"/>
    <x v="1"/>
    <n v="10"/>
    <x v="0"/>
    <s v="No"/>
    <s v="-"/>
    <s v="Yes"/>
    <n v="20"/>
    <n v="10"/>
    <x v="2"/>
    <x v="2"/>
  </r>
  <r>
    <n v="3430"/>
    <s v="Marcela Gouveia"/>
    <x v="1"/>
    <d v="2024-09-12T00:00:00"/>
    <x v="0"/>
    <n v="5"/>
    <x v="2"/>
    <s v="No"/>
    <s v="-"/>
    <s v="No"/>
    <n v="0"/>
    <n v="0"/>
    <x v="1"/>
    <x v="1"/>
  </r>
  <r>
    <n v="3431"/>
    <s v="Nicolas Borges"/>
    <x v="0"/>
    <d v="2024-09-13T00:00:00"/>
    <x v="1"/>
    <n v="15"/>
    <x v="0"/>
    <s v="Yes"/>
    <n v="30"/>
    <s v="Yes"/>
    <n v="20"/>
    <n v="15"/>
    <x v="0"/>
    <x v="14"/>
  </r>
  <r>
    <n v="3432"/>
    <s v="Olivia Freitas"/>
    <x v="2"/>
    <d v="2024-09-14T00:00:00"/>
    <x v="0"/>
    <n v="10"/>
    <x v="1"/>
    <s v="No"/>
    <s v="-"/>
    <s v="Yes"/>
    <n v="20"/>
    <n v="15"/>
    <x v="2"/>
    <x v="7"/>
  </r>
  <r>
    <n v="3433"/>
    <s v="Paulo Nogueira"/>
    <x v="1"/>
    <d v="2024-09-15T00:00:00"/>
    <x v="1"/>
    <n v="5"/>
    <x v="0"/>
    <s v="No"/>
    <s v="-"/>
    <s v="No"/>
    <n v="0"/>
    <n v="1"/>
    <x v="1"/>
    <x v="4"/>
  </r>
  <r>
    <n v="3434"/>
    <s v="Raquel Andrade"/>
    <x v="0"/>
    <d v="2024-09-16T00:00:00"/>
    <x v="0"/>
    <n v="15"/>
    <x v="2"/>
    <s v="Yes"/>
    <n v="30"/>
    <s v="Yes"/>
    <n v="20"/>
    <n v="7"/>
    <x v="0"/>
    <x v="12"/>
  </r>
  <r>
    <n v="3435"/>
    <s v="Sônia Carvalho"/>
    <x v="2"/>
    <d v="2024-09-17T00:00:00"/>
    <x v="1"/>
    <n v="10"/>
    <x v="0"/>
    <s v="No"/>
    <s v="-"/>
    <s v="Yes"/>
    <n v="20"/>
    <n v="10"/>
    <x v="2"/>
    <x v="2"/>
  </r>
  <r>
    <n v="3436"/>
    <s v="Tiago Rodrigues"/>
    <x v="1"/>
    <d v="2024-09-18T00:00:00"/>
    <x v="0"/>
    <n v="5"/>
    <x v="0"/>
    <s v="No"/>
    <s v="-"/>
    <s v="No"/>
    <n v="0"/>
    <n v="0"/>
    <x v="1"/>
    <x v="1"/>
  </r>
  <r>
    <n v="3437"/>
    <s v="Ursula Monteiro"/>
    <x v="0"/>
    <d v="2024-09-19T00:00:00"/>
    <x v="1"/>
    <n v="15"/>
    <x v="2"/>
    <s v="Yes"/>
    <n v="30"/>
    <s v="Yes"/>
    <n v="20"/>
    <n v="7"/>
    <x v="0"/>
    <x v="12"/>
  </r>
  <r>
    <n v="3438"/>
    <s v="Vanessa Pereira"/>
    <x v="2"/>
    <d v="2024-09-20T00:00:00"/>
    <x v="0"/>
    <n v="10"/>
    <x v="1"/>
    <s v="No"/>
    <s v="-"/>
    <s v="Yes"/>
    <n v="20"/>
    <n v="10"/>
    <x v="2"/>
    <x v="2"/>
  </r>
  <r>
    <n v="3439"/>
    <s v="Walter Silva"/>
    <x v="1"/>
    <d v="2024-09-21T00:00:00"/>
    <x v="1"/>
    <n v="5"/>
    <x v="2"/>
    <s v="No"/>
    <s v="-"/>
    <s v="No"/>
    <n v="0"/>
    <n v="1"/>
    <x v="1"/>
    <x v="4"/>
  </r>
  <r>
    <n v="3440"/>
    <s v="Xavier Almeida"/>
    <x v="0"/>
    <d v="2024-09-22T00:00:00"/>
    <x v="0"/>
    <n v="15"/>
    <x v="0"/>
    <s v="Yes"/>
    <n v="30"/>
    <s v="Yes"/>
    <n v="20"/>
    <n v="15"/>
    <x v="0"/>
    <x v="14"/>
  </r>
  <r>
    <n v="3441"/>
    <s v="Yasmine Correia"/>
    <x v="2"/>
    <d v="2024-09-23T00:00:00"/>
    <x v="1"/>
    <n v="10"/>
    <x v="0"/>
    <s v="No"/>
    <s v="-"/>
    <s v="Yes"/>
    <n v="20"/>
    <n v="5"/>
    <x v="2"/>
    <x v="13"/>
  </r>
  <r>
    <n v="3442"/>
    <s v="Zacarias Almeida"/>
    <x v="1"/>
    <d v="2024-09-24T00:00:00"/>
    <x v="0"/>
    <n v="5"/>
    <x v="1"/>
    <s v="No"/>
    <s v="-"/>
    <s v="No"/>
    <n v="0"/>
    <n v="0"/>
    <x v="1"/>
    <x v="1"/>
  </r>
  <r>
    <n v="3443"/>
    <s v="Amanda Costa"/>
    <x v="0"/>
    <d v="2024-09-25T00:00:00"/>
    <x v="1"/>
    <n v="15"/>
    <x v="2"/>
    <s v="Yes"/>
    <n v="30"/>
    <s v="Yes"/>
    <n v="20"/>
    <n v="20"/>
    <x v="0"/>
    <x v="8"/>
  </r>
  <r>
    <n v="3444"/>
    <s v="Bruno Ferreira"/>
    <x v="2"/>
    <d v="2024-09-26T00:00:00"/>
    <x v="0"/>
    <n v="10"/>
    <x v="2"/>
    <s v="No"/>
    <s v="-"/>
    <s v="Yes"/>
    <n v="20"/>
    <n v="12"/>
    <x v="2"/>
    <x v="10"/>
  </r>
  <r>
    <n v="3445"/>
    <s v="Carla Dias"/>
    <x v="1"/>
    <d v="2024-09-27T00:00:00"/>
    <x v="1"/>
    <n v="5"/>
    <x v="0"/>
    <s v="No"/>
    <s v="-"/>
    <s v="No"/>
    <n v="0"/>
    <n v="2"/>
    <x v="1"/>
    <x v="11"/>
  </r>
  <r>
    <n v="3446"/>
    <s v="Diogo Martins"/>
    <x v="0"/>
    <d v="2024-09-28T00:00:00"/>
    <x v="0"/>
    <n v="15"/>
    <x v="1"/>
    <s v="Yes"/>
    <n v="30"/>
    <s v="Yes"/>
    <n v="20"/>
    <n v="5"/>
    <x v="0"/>
    <x v="0"/>
  </r>
  <r>
    <n v="3447"/>
    <s v="Elisa Campos"/>
    <x v="2"/>
    <d v="2024-09-29T00:00:00"/>
    <x v="1"/>
    <n v="10"/>
    <x v="0"/>
    <s v="No"/>
    <s v="-"/>
    <s v="Yes"/>
    <n v="20"/>
    <n v="10"/>
    <x v="2"/>
    <x v="2"/>
  </r>
  <r>
    <n v="3448"/>
    <s v="Fabiana Lima"/>
    <x v="1"/>
    <d v="2024-09-30T00:00:00"/>
    <x v="0"/>
    <n v="5"/>
    <x v="2"/>
    <s v="No"/>
    <s v="-"/>
    <s v="No"/>
    <n v="0"/>
    <n v="0"/>
    <x v="1"/>
    <x v="1"/>
  </r>
  <r>
    <n v="3449"/>
    <s v="Gabriel Santos"/>
    <x v="0"/>
    <d v="2024-10-01T00:00:00"/>
    <x v="1"/>
    <n v="15"/>
    <x v="0"/>
    <s v="Yes"/>
    <n v="30"/>
    <s v="Yes"/>
    <n v="20"/>
    <n v="3"/>
    <x v="0"/>
    <x v="3"/>
  </r>
  <r>
    <n v="3450"/>
    <s v="Helena Ferreira"/>
    <x v="2"/>
    <d v="2024-10-02T00:00:00"/>
    <x v="0"/>
    <n v="10"/>
    <x v="1"/>
    <s v="No"/>
    <s v="-"/>
    <s v="Yes"/>
    <n v="20"/>
    <n v="15"/>
    <x v="2"/>
    <x v="7"/>
  </r>
  <r>
    <n v="3451"/>
    <s v="Ígor Nunes"/>
    <x v="1"/>
    <d v="2024-10-03T00:00:00"/>
    <x v="1"/>
    <n v="5"/>
    <x v="0"/>
    <s v="No"/>
    <s v="-"/>
    <s v="No"/>
    <n v="0"/>
    <n v="1"/>
    <x v="1"/>
    <x v="4"/>
  </r>
  <r>
    <n v="3452"/>
    <s v="Joana Silveira"/>
    <x v="0"/>
    <d v="2024-10-04T00:00:00"/>
    <x v="0"/>
    <n v="15"/>
    <x v="2"/>
    <s v="Yes"/>
    <n v="30"/>
    <s v="Yes"/>
    <n v="20"/>
    <n v="7"/>
    <x v="0"/>
    <x v="12"/>
  </r>
  <r>
    <n v="3453"/>
    <s v="Kléber Oliveira"/>
    <x v="2"/>
    <d v="2024-10-05T00:00:00"/>
    <x v="1"/>
    <n v="10"/>
    <x v="0"/>
    <s v="No"/>
    <s v="-"/>
    <s v="Yes"/>
    <n v="20"/>
    <n v="10"/>
    <x v="2"/>
    <x v="2"/>
  </r>
  <r>
    <n v="3454"/>
    <s v="Luciana Morais"/>
    <x v="1"/>
    <d v="2024-10-06T00:00:00"/>
    <x v="0"/>
    <n v="5"/>
    <x v="1"/>
    <s v="No"/>
    <s v="-"/>
    <s v="No"/>
    <n v="0"/>
    <n v="0"/>
    <x v="1"/>
    <x v="1"/>
  </r>
  <r>
    <n v="3455"/>
    <s v="Marcos Vinícius"/>
    <x v="0"/>
    <d v="2024-10-07T00:00:00"/>
    <x v="1"/>
    <n v="15"/>
    <x v="0"/>
    <s v="Yes"/>
    <n v="30"/>
    <s v="Yes"/>
    <n v="20"/>
    <n v="20"/>
    <x v="0"/>
    <x v="8"/>
  </r>
  <r>
    <n v="3456"/>
    <s v="Natália Barros"/>
    <x v="2"/>
    <d v="2024-10-08T00:00:00"/>
    <x v="0"/>
    <n v="10"/>
    <x v="2"/>
    <s v="No"/>
    <s v="-"/>
    <s v="Yes"/>
    <n v="20"/>
    <n v="15"/>
    <x v="2"/>
    <x v="7"/>
  </r>
  <r>
    <n v="3457"/>
    <s v="Oscar Sampaio"/>
    <x v="1"/>
    <d v="2024-10-09T00:00:00"/>
    <x v="1"/>
    <n v="5"/>
    <x v="0"/>
    <s v="No"/>
    <s v="-"/>
    <s v="No"/>
    <n v="0"/>
    <n v="1"/>
    <x v="1"/>
    <x v="4"/>
  </r>
  <r>
    <n v="3458"/>
    <s v="Patrícia Leite"/>
    <x v="0"/>
    <d v="2024-10-10T00:00:00"/>
    <x v="0"/>
    <n v="15"/>
    <x v="1"/>
    <s v="Yes"/>
    <n v="30"/>
    <s v="Yes"/>
    <n v="20"/>
    <n v="3"/>
    <x v="0"/>
    <x v="3"/>
  </r>
  <r>
    <n v="3459"/>
    <s v="Quênia Rocha"/>
    <x v="2"/>
    <d v="2024-10-11T00:00:00"/>
    <x v="1"/>
    <n v="10"/>
    <x v="0"/>
    <s v="No"/>
    <s v="-"/>
    <s v="Yes"/>
    <n v="20"/>
    <n v="10"/>
    <x v="2"/>
    <x v="2"/>
  </r>
  <r>
    <n v="3460"/>
    <s v="Rafael Torres"/>
    <x v="1"/>
    <d v="2024-10-12T00:00:00"/>
    <x v="0"/>
    <n v="5"/>
    <x v="2"/>
    <s v="No"/>
    <s v="-"/>
    <s v="No"/>
    <n v="0"/>
    <n v="0"/>
    <x v="1"/>
    <x v="1"/>
  </r>
  <r>
    <n v="3461"/>
    <s v="Sandra Gouveia"/>
    <x v="0"/>
    <d v="2024-10-13T00:00:00"/>
    <x v="1"/>
    <n v="15"/>
    <x v="0"/>
    <s v="Yes"/>
    <n v="30"/>
    <s v="Yes"/>
    <n v="20"/>
    <n v="15"/>
    <x v="0"/>
    <x v="14"/>
  </r>
  <r>
    <n v="3462"/>
    <s v="Tiago Lacerda"/>
    <x v="2"/>
    <d v="2024-10-14T00:00:00"/>
    <x v="0"/>
    <n v="10"/>
    <x v="1"/>
    <s v="No"/>
    <s v="-"/>
    <s v="Yes"/>
    <n v="20"/>
    <n v="15"/>
    <x v="2"/>
    <x v="7"/>
  </r>
  <r>
    <n v="3463"/>
    <s v="Ursula Fonseca"/>
    <x v="1"/>
    <d v="2024-10-15T00:00:00"/>
    <x v="1"/>
    <n v="5"/>
    <x v="0"/>
    <s v="No"/>
    <s v="-"/>
    <s v="No"/>
    <n v="0"/>
    <n v="1"/>
    <x v="1"/>
    <x v="4"/>
  </r>
  <r>
    <n v="3464"/>
    <s v="Vanessa Andrade"/>
    <x v="0"/>
    <d v="2024-10-16T00:00:00"/>
    <x v="0"/>
    <n v="15"/>
    <x v="2"/>
    <s v="Yes"/>
    <n v="30"/>
    <s v="Yes"/>
    <n v="20"/>
    <n v="7"/>
    <x v="0"/>
    <x v="12"/>
  </r>
  <r>
    <n v="3465"/>
    <s v="William Castro"/>
    <x v="2"/>
    <d v="2024-10-17T00:00:00"/>
    <x v="1"/>
    <n v="10"/>
    <x v="0"/>
    <s v="No"/>
    <s v="-"/>
    <s v="Yes"/>
    <n v="20"/>
    <n v="10"/>
    <x v="2"/>
    <x v="2"/>
  </r>
  <r>
    <n v="3466"/>
    <s v="Xavier Monteiro"/>
    <x v="1"/>
    <d v="2024-10-18T00:00:00"/>
    <x v="0"/>
    <n v="5"/>
    <x v="1"/>
    <s v="No"/>
    <s v="-"/>
    <s v="No"/>
    <n v="0"/>
    <n v="0"/>
    <x v="1"/>
    <x v="1"/>
  </r>
  <r>
    <n v="3467"/>
    <s v="Yasmin Figueira"/>
    <x v="0"/>
    <d v="2024-10-19T00:00:00"/>
    <x v="1"/>
    <n v="15"/>
    <x v="0"/>
    <s v="Yes"/>
    <n v="30"/>
    <s v="Yes"/>
    <n v="20"/>
    <n v="15"/>
    <x v="0"/>
    <x v="14"/>
  </r>
  <r>
    <n v="3468"/>
    <s v="Zacarias Mendonça"/>
    <x v="2"/>
    <d v="2024-10-20T00:00:00"/>
    <x v="0"/>
    <n v="10"/>
    <x v="2"/>
    <s v="No"/>
    <s v="-"/>
    <s v="Yes"/>
    <n v="20"/>
    <n v="12"/>
    <x v="2"/>
    <x v="10"/>
  </r>
  <r>
    <n v="3469"/>
    <s v="Amanda Menezes"/>
    <x v="1"/>
    <d v="2024-10-21T00:00:00"/>
    <x v="1"/>
    <n v="5"/>
    <x v="0"/>
    <s v="No"/>
    <s v="-"/>
    <s v="No"/>
    <n v="0"/>
    <n v="2"/>
    <x v="1"/>
    <x v="11"/>
  </r>
  <r>
    <n v="3470"/>
    <s v="Bruno Santos"/>
    <x v="0"/>
    <d v="2024-10-22T00:00:00"/>
    <x v="0"/>
    <n v="15"/>
    <x v="1"/>
    <s v="Yes"/>
    <n v="30"/>
    <s v="Yes"/>
    <n v="20"/>
    <n v="5"/>
    <x v="0"/>
    <x v="0"/>
  </r>
  <r>
    <n v="3471"/>
    <s v="Carla Ferreira"/>
    <x v="2"/>
    <d v="2024-10-23T00:00:00"/>
    <x v="1"/>
    <n v="10"/>
    <x v="0"/>
    <s v="No"/>
    <s v="-"/>
    <s v="Yes"/>
    <n v="20"/>
    <n v="10"/>
    <x v="2"/>
    <x v="2"/>
  </r>
  <r>
    <n v="3472"/>
    <s v="Diogo Alves"/>
    <x v="1"/>
    <d v="2024-10-24T00:00:00"/>
    <x v="0"/>
    <n v="5"/>
    <x v="2"/>
    <s v="No"/>
    <s v="-"/>
    <s v="No"/>
    <n v="0"/>
    <n v="0"/>
    <x v="1"/>
    <x v="1"/>
  </r>
  <r>
    <n v="3473"/>
    <s v="Elisa Neves"/>
    <x v="0"/>
    <d v="2024-10-25T00:00:00"/>
    <x v="1"/>
    <n v="15"/>
    <x v="0"/>
    <s v="Yes"/>
    <n v="30"/>
    <s v="Yes"/>
    <n v="20"/>
    <n v="3"/>
    <x v="0"/>
    <x v="3"/>
  </r>
  <r>
    <n v="3474"/>
    <s v="Fabiano Pires"/>
    <x v="2"/>
    <d v="2024-10-26T00:00:00"/>
    <x v="0"/>
    <n v="10"/>
    <x v="1"/>
    <s v="No"/>
    <s v="-"/>
    <s v="Yes"/>
    <n v="20"/>
    <n v="15"/>
    <x v="2"/>
    <x v="7"/>
  </r>
  <r>
    <n v="3475"/>
    <s v="Giovana Ribeiro"/>
    <x v="1"/>
    <d v="2024-10-27T00:00:00"/>
    <x v="1"/>
    <n v="5"/>
    <x v="0"/>
    <s v="No"/>
    <s v="-"/>
    <s v="No"/>
    <n v="0"/>
    <n v="1"/>
    <x v="1"/>
    <x v="4"/>
  </r>
  <r>
    <n v="3476"/>
    <s v="Hélio Costa"/>
    <x v="0"/>
    <d v="2024-10-28T00:00:00"/>
    <x v="0"/>
    <n v="15"/>
    <x v="2"/>
    <s v="Yes"/>
    <n v="30"/>
    <s v="Yes"/>
    <n v="20"/>
    <n v="7"/>
    <x v="0"/>
    <x v="12"/>
  </r>
  <r>
    <n v="3477"/>
    <s v="Íris Loureiro"/>
    <x v="2"/>
    <d v="2024-10-29T00:00:00"/>
    <x v="1"/>
    <n v="10"/>
    <x v="0"/>
    <s v="No"/>
    <s v="-"/>
    <s v="Yes"/>
    <n v="20"/>
    <n v="10"/>
    <x v="2"/>
    <x v="2"/>
  </r>
  <r>
    <n v="3478"/>
    <s v="João Pereira"/>
    <x v="1"/>
    <d v="2024-10-30T00:00:00"/>
    <x v="0"/>
    <n v="5"/>
    <x v="1"/>
    <s v="No"/>
    <s v="-"/>
    <s v="No"/>
    <n v="0"/>
    <n v="0"/>
    <x v="1"/>
    <x v="1"/>
  </r>
  <r>
    <n v="3479"/>
    <s v="Klara Silva"/>
    <x v="0"/>
    <d v="2024-10-31T00:00:00"/>
    <x v="1"/>
    <n v="15"/>
    <x v="0"/>
    <s v="Yes"/>
    <n v="30"/>
    <s v="Yes"/>
    <n v="20"/>
    <n v="20"/>
    <x v="0"/>
    <x v="8"/>
  </r>
  <r>
    <n v="3480"/>
    <s v="Luciana Barros"/>
    <x v="2"/>
    <d v="2024-11-01T00:00:00"/>
    <x v="0"/>
    <n v="10"/>
    <x v="2"/>
    <s v="No"/>
    <s v="-"/>
    <s v="Yes"/>
    <n v="20"/>
    <n v="15"/>
    <x v="2"/>
    <x v="7"/>
  </r>
  <r>
    <n v="3481"/>
    <s v="Marcos Gomes"/>
    <x v="1"/>
    <d v="2024-11-02T00:00:00"/>
    <x v="1"/>
    <n v="5"/>
    <x v="0"/>
    <s v="No"/>
    <s v="-"/>
    <s v="No"/>
    <n v="0"/>
    <n v="1"/>
    <x v="1"/>
    <x v="4"/>
  </r>
  <r>
    <n v="3482"/>
    <s v="Natália Soares"/>
    <x v="0"/>
    <d v="2024-11-03T00:00:00"/>
    <x v="0"/>
    <n v="15"/>
    <x v="1"/>
    <s v="Yes"/>
    <n v="30"/>
    <s v="Yes"/>
    <n v="20"/>
    <n v="3"/>
    <x v="0"/>
    <x v="3"/>
  </r>
  <r>
    <n v="3483"/>
    <s v="Oscar Machado"/>
    <x v="2"/>
    <d v="2024-11-04T00:00:00"/>
    <x v="1"/>
    <n v="10"/>
    <x v="0"/>
    <s v="No"/>
    <s v="-"/>
    <s v="Yes"/>
    <n v="20"/>
    <n v="10"/>
    <x v="2"/>
    <x v="2"/>
  </r>
  <r>
    <n v="3484"/>
    <s v="Patrícia Lima"/>
    <x v="1"/>
    <d v="2024-11-05T00:00:00"/>
    <x v="0"/>
    <n v="5"/>
    <x v="2"/>
    <s v="No"/>
    <s v="-"/>
    <s v="No"/>
    <n v="0"/>
    <n v="0"/>
    <x v="1"/>
    <x v="1"/>
  </r>
  <r>
    <n v="3485"/>
    <s v="Quirino Neto"/>
    <x v="0"/>
    <d v="2024-11-06T00:00:00"/>
    <x v="1"/>
    <n v="15"/>
    <x v="0"/>
    <s v="Yes"/>
    <n v="30"/>
    <s v="Yes"/>
    <n v="20"/>
    <n v="15"/>
    <x v="0"/>
    <x v="14"/>
  </r>
  <r>
    <n v="3486"/>
    <s v="Rafaela Souza"/>
    <x v="1"/>
    <d v="2024-11-07T00:00:00"/>
    <x v="0"/>
    <n v="5"/>
    <x v="0"/>
    <s v="No"/>
    <s v="-"/>
    <s v="No"/>
    <n v="0"/>
    <n v="0"/>
    <x v="1"/>
    <x v="1"/>
  </r>
  <r>
    <n v="3487"/>
    <s v="Sandro Almeida"/>
    <x v="0"/>
    <d v="2024-11-08T00:00:00"/>
    <x v="1"/>
    <n v="15"/>
    <x v="2"/>
    <s v="Yes"/>
    <n v="30"/>
    <s v="Yes"/>
    <n v="20"/>
    <n v="7"/>
    <x v="0"/>
    <x v="12"/>
  </r>
  <r>
    <n v="3488"/>
    <s v="Tânia Ribeiro"/>
    <x v="2"/>
    <d v="2024-11-09T00:00:00"/>
    <x v="0"/>
    <n v="10"/>
    <x v="1"/>
    <s v="No"/>
    <s v="-"/>
    <s v="Yes"/>
    <n v="20"/>
    <n v="10"/>
    <x v="2"/>
    <x v="2"/>
  </r>
  <r>
    <n v="3489"/>
    <s v="Ugo Dias"/>
    <x v="1"/>
    <d v="2024-11-10T00:00:00"/>
    <x v="1"/>
    <n v="5"/>
    <x v="2"/>
    <s v="No"/>
    <s v="-"/>
    <s v="No"/>
    <n v="0"/>
    <n v="1"/>
    <x v="1"/>
    <x v="4"/>
  </r>
  <r>
    <n v="3490"/>
    <s v="Valéria Lima"/>
    <x v="0"/>
    <d v="2024-11-11T00:00:00"/>
    <x v="0"/>
    <n v="15"/>
    <x v="0"/>
    <s v="Yes"/>
    <n v="30"/>
    <s v="Yes"/>
    <n v="20"/>
    <n v="15"/>
    <x v="0"/>
    <x v="14"/>
  </r>
  <r>
    <n v="3491"/>
    <s v="William Fernandes"/>
    <x v="2"/>
    <d v="2024-11-12T00:00:00"/>
    <x v="1"/>
    <n v="10"/>
    <x v="0"/>
    <s v="No"/>
    <s v="-"/>
    <s v="Yes"/>
    <n v="20"/>
    <n v="5"/>
    <x v="2"/>
    <x v="13"/>
  </r>
  <r>
    <n v="3492"/>
    <s v="Xuxa Mendes"/>
    <x v="1"/>
    <d v="2024-11-13T00:00:00"/>
    <x v="0"/>
    <n v="5"/>
    <x v="1"/>
    <s v="No"/>
    <s v="-"/>
    <s v="No"/>
    <n v="0"/>
    <n v="0"/>
    <x v="1"/>
    <x v="1"/>
  </r>
  <r>
    <n v="3493"/>
    <s v="Ygor Farias"/>
    <x v="0"/>
    <d v="2024-11-14T00:00:00"/>
    <x v="1"/>
    <n v="15"/>
    <x v="2"/>
    <s v="Yes"/>
    <n v="30"/>
    <s v="Yes"/>
    <n v="20"/>
    <n v="20"/>
    <x v="0"/>
    <x v="8"/>
  </r>
  <r>
    <n v="3494"/>
    <s v="Zilda Barros"/>
    <x v="2"/>
    <d v="2024-11-15T00:00:00"/>
    <x v="0"/>
    <n v="10"/>
    <x v="2"/>
    <s v="No"/>
    <s v="-"/>
    <s v="Yes"/>
    <n v="20"/>
    <n v="12"/>
    <x v="2"/>
    <x v="10"/>
  </r>
  <r>
    <n v="3495"/>
    <s v="Amanda Santos"/>
    <x v="1"/>
    <d v="2024-11-16T00:00:00"/>
    <x v="1"/>
    <n v="5"/>
    <x v="0"/>
    <s v="No"/>
    <s v="-"/>
    <s v="No"/>
    <n v="0"/>
    <n v="2"/>
    <x v="1"/>
    <x v="11"/>
  </r>
  <r>
    <n v="3496"/>
    <s v="Bruno Costa"/>
    <x v="0"/>
    <d v="2024-11-17T00:00:00"/>
    <x v="0"/>
    <n v="15"/>
    <x v="1"/>
    <s v="Yes"/>
    <n v="30"/>
    <s v="Yes"/>
    <n v="20"/>
    <n v="5"/>
    <x v="0"/>
    <x v="0"/>
  </r>
  <r>
    <n v="3497"/>
    <s v="Carla Rodrigues"/>
    <x v="2"/>
    <d v="2024-11-18T00:00:00"/>
    <x v="1"/>
    <n v="10"/>
    <x v="0"/>
    <s v="No"/>
    <s v="-"/>
    <s v="Yes"/>
    <n v="20"/>
    <n v="10"/>
    <x v="2"/>
    <x v="2"/>
  </r>
  <r>
    <n v="3498"/>
    <s v="Diogo Pereira"/>
    <x v="1"/>
    <d v="2024-11-19T00:00:00"/>
    <x v="0"/>
    <n v="5"/>
    <x v="2"/>
    <s v="No"/>
    <s v="-"/>
    <s v="No"/>
    <n v="0"/>
    <n v="0"/>
    <x v="1"/>
    <x v="1"/>
  </r>
  <r>
    <n v="3499"/>
    <s v="Elisa Correia"/>
    <x v="0"/>
    <d v="2024-11-20T00:00:00"/>
    <x v="1"/>
    <n v="15"/>
    <x v="0"/>
    <s v="Yes"/>
    <n v="30"/>
    <s v="Yes"/>
    <n v="20"/>
    <n v="3"/>
    <x v="0"/>
    <x v="3"/>
  </r>
  <r>
    <n v="3500"/>
    <s v="Fábio Lourenço"/>
    <x v="2"/>
    <d v="2024-11-21T00:00:00"/>
    <x v="0"/>
    <n v="10"/>
    <x v="1"/>
    <s v="No"/>
    <s v="-"/>
    <s v="Yes"/>
    <n v="20"/>
    <n v="15"/>
    <x v="2"/>
    <x v="7"/>
  </r>
  <r>
    <n v="3501"/>
    <s v="Gabriela Neves"/>
    <x v="1"/>
    <d v="2024-11-22T00:00:00"/>
    <x v="1"/>
    <n v="5"/>
    <x v="0"/>
    <s v="No"/>
    <s v="-"/>
    <s v="No"/>
    <n v="0"/>
    <n v="1"/>
    <x v="1"/>
    <x v="4"/>
  </r>
  <r>
    <n v="3502"/>
    <s v="Henrique Gonçalves"/>
    <x v="0"/>
    <d v="2024-11-23T00:00:00"/>
    <x v="0"/>
    <n v="15"/>
    <x v="2"/>
    <s v="Yes"/>
    <n v="30"/>
    <s v="Yes"/>
    <n v="20"/>
    <n v="7"/>
    <x v="0"/>
    <x v="12"/>
  </r>
  <r>
    <n v="3503"/>
    <s v="Íris Santos"/>
    <x v="2"/>
    <d v="2024-11-24T00:00:00"/>
    <x v="1"/>
    <n v="10"/>
    <x v="0"/>
    <s v="No"/>
    <s v="-"/>
    <s v="Yes"/>
    <n v="20"/>
    <n v="10"/>
    <x v="2"/>
    <x v="2"/>
  </r>
  <r>
    <n v="3504"/>
    <s v="João Marcelo Alves"/>
    <x v="1"/>
    <d v="2024-11-25T00:00:00"/>
    <x v="0"/>
    <n v="5"/>
    <x v="1"/>
    <s v="No"/>
    <s v="-"/>
    <s v="No"/>
    <n v="0"/>
    <n v="0"/>
    <x v="1"/>
    <x v="1"/>
  </r>
  <r>
    <n v="3505"/>
    <s v="Klara Fonseca"/>
    <x v="0"/>
    <d v="2024-11-26T00:00:00"/>
    <x v="1"/>
    <n v="15"/>
    <x v="0"/>
    <s v="Yes"/>
    <n v="30"/>
    <s v="Yes"/>
    <n v="20"/>
    <n v="20"/>
    <x v="0"/>
    <x v="8"/>
  </r>
  <r>
    <n v="3506"/>
    <s v="Lucas Mendonça"/>
    <x v="2"/>
    <d v="2024-11-27T00:00:00"/>
    <x v="0"/>
    <n v="10"/>
    <x v="2"/>
    <s v="No"/>
    <s v="-"/>
    <s v="Yes"/>
    <n v="20"/>
    <n v="15"/>
    <x v="2"/>
    <x v="7"/>
  </r>
  <r>
    <n v="3507"/>
    <s v="Marcela Torres"/>
    <x v="1"/>
    <d v="2024-11-28T00:00:00"/>
    <x v="1"/>
    <n v="5"/>
    <x v="0"/>
    <s v="No"/>
    <s v="-"/>
    <s v="No"/>
    <n v="0"/>
    <n v="1"/>
    <x v="1"/>
    <x v="4"/>
  </r>
  <r>
    <n v="3508"/>
    <s v="Natália Castro"/>
    <x v="0"/>
    <d v="2024-11-29T00:00:00"/>
    <x v="0"/>
    <n v="15"/>
    <x v="1"/>
    <s v="Yes"/>
    <n v="30"/>
    <s v="Yes"/>
    <n v="20"/>
    <n v="3"/>
    <x v="0"/>
    <x v="3"/>
  </r>
  <r>
    <n v="3509"/>
    <s v="Oscar Martins"/>
    <x v="2"/>
    <d v="2024-11-30T00:00:00"/>
    <x v="1"/>
    <n v="10"/>
    <x v="0"/>
    <s v="No"/>
    <s v="-"/>
    <s v="Yes"/>
    <n v="20"/>
    <n v="10"/>
    <x v="2"/>
    <x v="2"/>
  </r>
  <r>
    <n v="3510"/>
    <s v="Patrícia Oliveira"/>
    <x v="1"/>
    <d v="2024-12-01T00:00:00"/>
    <x v="0"/>
    <n v="5"/>
    <x v="2"/>
    <s v="No"/>
    <s v="-"/>
    <s v="No"/>
    <n v="0"/>
    <n v="0"/>
    <x v="1"/>
    <x v="1"/>
  </r>
  <r>
    <n v="3511"/>
    <s v="Quentin Nogueira"/>
    <x v="0"/>
    <d v="2024-12-02T00:00:00"/>
    <x v="1"/>
    <n v="15"/>
    <x v="0"/>
    <s v="Yes"/>
    <n v="30"/>
    <s v="Yes"/>
    <n v="20"/>
    <n v="15"/>
    <x v="0"/>
    <x v="14"/>
  </r>
  <r>
    <n v="3512"/>
    <s v="Raquel Silva"/>
    <x v="2"/>
    <d v="2024-12-03T00:00:00"/>
    <x v="0"/>
    <n v="10"/>
    <x v="1"/>
    <s v="No"/>
    <s v="-"/>
    <s v="Yes"/>
    <n v="20"/>
    <n v="15"/>
    <x v="2"/>
    <x v="7"/>
  </r>
  <r>
    <n v="3513"/>
    <s v="Sandro Gomes"/>
    <x v="1"/>
    <d v="2024-12-04T00:00:00"/>
    <x v="1"/>
    <n v="5"/>
    <x v="0"/>
    <s v="No"/>
    <s v="-"/>
    <s v="No"/>
    <n v="0"/>
    <n v="1"/>
    <x v="1"/>
    <x v="4"/>
  </r>
  <r>
    <n v="3514"/>
    <s v="Tânia Machado"/>
    <x v="0"/>
    <d v="2024-12-05T00:00:00"/>
    <x v="0"/>
    <n v="15"/>
    <x v="2"/>
    <s v="Yes"/>
    <n v="30"/>
    <s v="Yes"/>
    <n v="20"/>
    <n v="7"/>
    <x v="0"/>
    <x v="12"/>
  </r>
  <r>
    <n v="3515"/>
    <s v="Ursula Silva"/>
    <x v="2"/>
    <d v="2024-12-06T00:00:00"/>
    <x v="1"/>
    <n v="10"/>
    <x v="0"/>
    <s v="No"/>
    <s v="-"/>
    <s v="Yes"/>
    <n v="20"/>
    <n v="10"/>
    <x v="2"/>
    <x v="2"/>
  </r>
  <r>
    <n v="3516"/>
    <s v="Vanessa Moraes"/>
    <x v="1"/>
    <d v="2024-12-07T00:00:00"/>
    <x v="0"/>
    <n v="5"/>
    <x v="1"/>
    <s v="No"/>
    <s v="-"/>
    <s v="No"/>
    <n v="0"/>
    <n v="0"/>
    <x v="1"/>
    <x v="1"/>
  </r>
  <r>
    <n v="3517"/>
    <s v="William Carvalho"/>
    <x v="0"/>
    <d v="2024-12-08T00:00:00"/>
    <x v="1"/>
    <n v="15"/>
    <x v="0"/>
    <s v="Yes"/>
    <n v="30"/>
    <s v="Yes"/>
    <n v="20"/>
    <n v="20"/>
    <x v="0"/>
    <x v="8"/>
  </r>
  <r>
    <n v="3518"/>
    <s v="Xavier Reis"/>
    <x v="2"/>
    <d v="2024-12-09T00:00:00"/>
    <x v="0"/>
    <n v="10"/>
    <x v="2"/>
    <s v="No"/>
    <s v="-"/>
    <s v="Yes"/>
    <n v="20"/>
    <n v="12"/>
    <x v="2"/>
    <x v="10"/>
  </r>
  <r>
    <n v="3519"/>
    <s v="Yasmin Rocha"/>
    <x v="1"/>
    <d v="2024-12-10T00:00:00"/>
    <x v="1"/>
    <n v="5"/>
    <x v="0"/>
    <s v="No"/>
    <s v="-"/>
    <s v="No"/>
    <n v="0"/>
    <n v="2"/>
    <x v="1"/>
    <x v="11"/>
  </r>
  <r>
    <n v="3520"/>
    <s v="Zacarias Duarte"/>
    <x v="0"/>
    <d v="2024-12-11T00:00:00"/>
    <x v="0"/>
    <n v="15"/>
    <x v="1"/>
    <s v="Yes"/>
    <n v="30"/>
    <s v="Yes"/>
    <n v="20"/>
    <n v="5"/>
    <x v="0"/>
    <x v="0"/>
  </r>
  <r>
    <n v="3521"/>
    <s v="Amanda Freitas"/>
    <x v="2"/>
    <d v="2024-12-12T00:00:00"/>
    <x v="1"/>
    <n v="10"/>
    <x v="0"/>
    <s v="No"/>
    <s v="-"/>
    <s v="Yes"/>
    <n v="20"/>
    <n v="10"/>
    <x v="2"/>
    <x v="2"/>
  </r>
  <r>
    <n v="3522"/>
    <s v="Bruno Almeida"/>
    <x v="1"/>
    <d v="2024-12-13T00:00:00"/>
    <x v="0"/>
    <n v="5"/>
    <x v="2"/>
    <s v="No"/>
    <s v="-"/>
    <s v="No"/>
    <n v="0"/>
    <n v="0"/>
    <x v="1"/>
    <x v="1"/>
  </r>
  <r>
    <n v="3523"/>
    <s v="Carla Siqueira"/>
    <x v="0"/>
    <d v="2024-12-14T00:00:00"/>
    <x v="1"/>
    <n v="15"/>
    <x v="0"/>
    <s v="Yes"/>
    <n v="30"/>
    <s v="Yes"/>
    <n v="20"/>
    <n v="3"/>
    <x v="0"/>
    <x v="3"/>
  </r>
  <r>
    <n v="3524"/>
    <s v="Diogo Ramos"/>
    <x v="2"/>
    <d v="2024-12-15T00:00:00"/>
    <x v="0"/>
    <n v="10"/>
    <x v="1"/>
    <s v="No"/>
    <s v="-"/>
    <s v="Yes"/>
    <n v="20"/>
    <n v="15"/>
    <x v="2"/>
    <x v="7"/>
  </r>
  <r>
    <n v="3525"/>
    <s v="Elisa Magalhães"/>
    <x v="1"/>
    <d v="2024-12-16T00:00:00"/>
    <x v="1"/>
    <n v="5"/>
    <x v="0"/>
    <s v="No"/>
    <s v="-"/>
    <s v="No"/>
    <n v="0"/>
    <n v="1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F9902-65A7-40A6-81DB-BF28E597E03D}" name="Tabela dinâmica3" cacheId="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59:C61" firstHeaderRow="1" firstDataRow="1" firstDataCol="1"/>
  <pivotFields count="14">
    <pivotField showAll="0"/>
    <pivotField showAll="0"/>
    <pivotField showAll="0"/>
    <pivotField numFmtId="14" showAll="0"/>
    <pivotField showAll="0"/>
    <pivotField numFmtId="44" showAll="0"/>
    <pivotField axis="axisRow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showAll="0">
      <items count="4">
        <item x="1"/>
        <item x="2"/>
        <item x="0"/>
        <item t="default"/>
      </items>
    </pivotField>
    <pivotField dataField="1" numFmtId="44" showAll="0"/>
  </pivotFields>
  <rowFields count="1">
    <field x="6"/>
  </rowFields>
  <rowItems count="2">
    <i>
      <x v="1"/>
    </i>
    <i t="grand">
      <x/>
    </i>
  </rowItems>
  <colItems count="1">
    <i/>
  </colItems>
  <dataFields count="1">
    <dataField name="Soma de Total Valu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10FDA-EE0E-449E-B171-3C1CC54E494C}" name="Tabela dinâmica2" cacheId="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51:C53" firstHeaderRow="1" firstDataRow="1" firstDataCol="1"/>
  <pivotFields count="14">
    <pivotField showAll="0"/>
    <pivotField showAll="0"/>
    <pivotField showAll="0"/>
    <pivotField numFmtId="14" showAll="0"/>
    <pivotField showAll="0"/>
    <pivotField numFmtId="44" showAll="0"/>
    <pivotField axis="axisRow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dataField="1" numFmtId="44" showAll="0"/>
    <pivotField showAll="0">
      <items count="4">
        <item x="1"/>
        <item x="2"/>
        <item x="0"/>
        <item t="default"/>
      </items>
    </pivotField>
    <pivotField numFmtId="44" showAll="0"/>
  </pivotFields>
  <rowFields count="1">
    <field x="6"/>
  </rowFields>
  <rowItems count="2">
    <i>
      <x v="1"/>
    </i>
    <i t="grand">
      <x/>
    </i>
  </rowItems>
  <colItems count="1">
    <i/>
  </colItems>
  <dataFields count="1">
    <dataField name="Soma de Coupon Val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B0F0A-E22A-4769-A249-9FE0BABFE72A}" name="tbl_percent_assis" cacheId="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43:C47" firstHeaderRow="1" firstDataRow="1" firstDataCol="1" rowPageCount="1" colPageCount="1"/>
  <pivotFields count="14">
    <pivotField showAll="0"/>
    <pivotField showAll="0"/>
    <pivotField showAll="0"/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axis="axisRow" showAll="0">
      <items count="4">
        <item x="1"/>
        <item x="2"/>
        <item x="0"/>
        <item t="default"/>
      </items>
    </pivotField>
    <pivotField dataField="1" numFmtId="44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Total Value" fld="13" showDataAs="percentOfTotal" baseField="12" baseItem="0" numFmtId="10"/>
  </dataFields>
  <chartFormats count="4"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1:C14" firstHeaderRow="1" firstDataRow="1" firstDataCol="1" rowPageCount="1" colPageCount="1"/>
  <pivotFields count="14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3" baseField="0" baseItem="0" numFmtId="164"/>
  </dataFields>
  <chartFormats count="3">
    <chartFormat chart="4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  <pivotTable tabId="3" name="tbl_percent_assis"/>
    <pivotTable tabId="3" name="Tabela dinâmica2"/>
    <pivotTable tabId="3" name="Tabela dinâmica3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N296" totalsRowShown="0" dataDxfId="14">
  <autoFilter ref="A1:N296" xr:uid="{34E0E886-4200-4B36-97B3-63DB74FF40A0}"/>
  <tableColumns count="14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6" xr3:uid="{78B82374-9AA7-4E38-AE4F-78CDE6C83720}" name="Subscription Price" dataDxfId="8" dataCellStyle="Moeda"/>
    <tableColumn id="7" xr3:uid="{F2433F68-AF33-49D0-B1FB-19A396074EDE}" name="Subscription Type" dataDxfId="7"/>
    <tableColumn id="8" xr3:uid="{FD4D9C95-F6E5-4933-9068-A71FF7DF9343}" name="EA Play Season Pass" dataDxfId="6"/>
    <tableColumn id="13" xr3:uid="{978DD0D2-834E-4CE4-A39B-30976086932F}" name="EA Play Season Pass_x000a_Price" dataDxfId="5" dataCellStyle="Moeda"/>
    <tableColumn id="9" xr3:uid="{6E29F111-C395-4580-9DAD-3407D9E8B1A4}" name="Minecraft Season Pass" dataDxfId="4"/>
    <tableColumn id="10" xr3:uid="{EF544EAA-7F25-4FD5-A10E-8E62804DB9E3}" name="Minecraft Season Pass Price" dataDxfId="3" dataCellStyle="Moeda"/>
    <tableColumn id="11" xr3:uid="{7F6EB64A-1F07-4E48-9F0F-AC7D9DCD26F8}" name="Coupon Value" dataDxfId="2" dataCellStyle="Moeda"/>
    <tableColumn id="14" xr3:uid="{3505A495-C026-4655-96A3-E2C3BE1C0524}" name="Type" dataDxfId="0" dataCellStyle="Moeda">
      <calculatedColumnFormula xml:space="preserve"> C2 &amp; IF(H2="Yes", " + EA Play", "") &amp; IF(J2="Yes", " + Minecraft", "")</calculatedColumnFormula>
    </tableColumn>
    <tableColumn id="12" xr3:uid="{2B04ABC8-DE6F-426E-ADC0-D8AFC68CA58E}" name="Total Value" dataDxfId="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36" sqref="E3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296"/>
  <sheetViews>
    <sheetView zoomScale="90" zoomScaleNormal="90" workbookViewId="0">
      <selection activeCell="H12" sqref="H12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27.25" bestFit="1" customWidth="1"/>
    <col min="14" max="14" width="10.625" bestFit="1" customWidth="1"/>
  </cols>
  <sheetData>
    <row r="1" spans="1:14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324</v>
      </c>
      <c r="N1" s="9" t="s">
        <v>33</v>
      </c>
    </row>
    <row r="2" spans="1:14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 t="str">
        <f t="shared" ref="M2:M65" si="0" xml:space="preserve"> C2 &amp; IF(H2="Yes", " + EA Play", "") &amp; IF(J2="Yes", " + Minecraft", "")</f>
        <v>Ultimate + EA Play + Minecraft</v>
      </c>
      <c r="N2" s="11">
        <v>60</v>
      </c>
    </row>
    <row r="3" spans="1:14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 t="str">
        <f t="shared" si="0"/>
        <v>Core</v>
      </c>
      <c r="N3" s="11">
        <v>5</v>
      </c>
    </row>
    <row r="4" spans="1:14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 t="str">
        <f t="shared" si="0"/>
        <v>Standard + Minecraft</v>
      </c>
      <c r="N4" s="11">
        <v>20</v>
      </c>
    </row>
    <row r="5" spans="1:14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 t="str">
        <f t="shared" si="0"/>
        <v>Ultimate + EA Play + Minecraft</v>
      </c>
      <c r="N5" s="11">
        <v>62</v>
      </c>
    </row>
    <row r="6" spans="1:14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 t="str">
        <f t="shared" si="0"/>
        <v>Core</v>
      </c>
      <c r="N6" s="11">
        <v>4</v>
      </c>
    </row>
    <row r="7" spans="1:14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 t="str">
        <f t="shared" si="0"/>
        <v>Standard + Minecraft</v>
      </c>
      <c r="N7" s="11">
        <v>28</v>
      </c>
    </row>
    <row r="8" spans="1:14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 t="str">
        <f t="shared" si="0"/>
        <v>Ultimate + EA Play + Minecraft</v>
      </c>
      <c r="N8" s="11">
        <v>55</v>
      </c>
    </row>
    <row r="9" spans="1:14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 t="str">
        <f t="shared" si="0"/>
        <v>Core</v>
      </c>
      <c r="N9" s="11">
        <v>5</v>
      </c>
    </row>
    <row r="10" spans="1:14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 t="str">
        <f t="shared" si="0"/>
        <v>Ultimate + EA Play + Minecraft</v>
      </c>
      <c r="N10" s="11">
        <v>60</v>
      </c>
    </row>
    <row r="11" spans="1:14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 t="str">
        <f t="shared" si="0"/>
        <v>Standard + Minecraft</v>
      </c>
      <c r="N11" s="11">
        <v>15</v>
      </c>
    </row>
    <row r="12" spans="1:14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 t="str">
        <f t="shared" si="0"/>
        <v>Core</v>
      </c>
      <c r="N12" s="11">
        <v>4</v>
      </c>
    </row>
    <row r="13" spans="1:14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 t="str">
        <f t="shared" si="0"/>
        <v>Ultimate + EA Play + Minecraft</v>
      </c>
      <c r="N13" s="11">
        <v>45</v>
      </c>
    </row>
    <row r="14" spans="1:14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 t="str">
        <f t="shared" si="0"/>
        <v>Standard + Minecraft</v>
      </c>
      <c r="N14" s="11">
        <v>20</v>
      </c>
    </row>
    <row r="15" spans="1:14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 t="str">
        <f t="shared" si="0"/>
        <v>Core</v>
      </c>
      <c r="N15" s="11">
        <v>5</v>
      </c>
    </row>
    <row r="16" spans="1:14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 t="str">
        <f t="shared" si="0"/>
        <v>Ultimate + EA Play + Minecraft</v>
      </c>
      <c r="N16" s="11">
        <v>57</v>
      </c>
    </row>
    <row r="17" spans="1:14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 t="str">
        <f t="shared" si="0"/>
        <v>Standard + Minecraft</v>
      </c>
      <c r="N17" s="11">
        <v>18</v>
      </c>
    </row>
    <row r="18" spans="1:14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 t="str">
        <f t="shared" si="0"/>
        <v>Core</v>
      </c>
      <c r="N18" s="11">
        <v>3</v>
      </c>
    </row>
    <row r="19" spans="1:14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 t="str">
        <f t="shared" si="0"/>
        <v>Ultimate + EA Play + Minecraft</v>
      </c>
      <c r="N19" s="11">
        <v>58</v>
      </c>
    </row>
    <row r="20" spans="1:14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 t="str">
        <f t="shared" si="0"/>
        <v>Standard + Minecraft</v>
      </c>
      <c r="N20" s="11">
        <v>25</v>
      </c>
    </row>
    <row r="21" spans="1:14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 t="str">
        <f t="shared" si="0"/>
        <v>Core</v>
      </c>
      <c r="N21" s="11">
        <v>5</v>
      </c>
    </row>
    <row r="22" spans="1:14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 t="str">
        <f t="shared" si="0"/>
        <v>Ultimate + EA Play + Minecraft</v>
      </c>
      <c r="N22" s="11">
        <v>62</v>
      </c>
    </row>
    <row r="23" spans="1:14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 t="str">
        <f t="shared" si="0"/>
        <v>Standard + Minecraft</v>
      </c>
      <c r="N23" s="11">
        <v>15</v>
      </c>
    </row>
    <row r="24" spans="1:14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 t="str">
        <f t="shared" si="0"/>
        <v>Core</v>
      </c>
      <c r="N24" s="11">
        <v>4</v>
      </c>
    </row>
    <row r="25" spans="1:14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 t="str">
        <f t="shared" si="0"/>
        <v>Ultimate + EA Play + Minecraft</v>
      </c>
      <c r="N25" s="11">
        <v>45</v>
      </c>
    </row>
    <row r="26" spans="1:14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 t="str">
        <f t="shared" si="0"/>
        <v>Standard + Minecraft</v>
      </c>
      <c r="N26" s="11">
        <v>20</v>
      </c>
    </row>
    <row r="27" spans="1:14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 t="str">
        <f t="shared" si="0"/>
        <v>Core</v>
      </c>
      <c r="N27" s="11">
        <v>5</v>
      </c>
    </row>
    <row r="28" spans="1:14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 t="str">
        <f t="shared" si="0"/>
        <v>Ultimate + EA Play + Minecraft</v>
      </c>
      <c r="N28" s="11">
        <v>60</v>
      </c>
    </row>
    <row r="29" spans="1:14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 t="str">
        <f t="shared" si="0"/>
        <v>Standard + Minecraft</v>
      </c>
      <c r="N29" s="11">
        <v>15</v>
      </c>
    </row>
    <row r="30" spans="1:14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 t="str">
        <f t="shared" si="0"/>
        <v>Core</v>
      </c>
      <c r="N30" s="11">
        <v>4</v>
      </c>
    </row>
    <row r="31" spans="1:14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 t="str">
        <f t="shared" si="0"/>
        <v>Ultimate + EA Play + Minecraft</v>
      </c>
      <c r="N31" s="11">
        <v>58</v>
      </c>
    </row>
    <row r="32" spans="1:14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 t="str">
        <f t="shared" si="0"/>
        <v>Standard + Minecraft</v>
      </c>
      <c r="N32" s="11">
        <v>20</v>
      </c>
    </row>
    <row r="33" spans="1:14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 t="str">
        <f t="shared" si="0"/>
        <v>Core</v>
      </c>
      <c r="N33" s="11">
        <v>5</v>
      </c>
    </row>
    <row r="34" spans="1:14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 t="str">
        <f t="shared" si="0"/>
        <v>Ultimate + EA Play + Minecraft</v>
      </c>
      <c r="N34" s="11">
        <v>62</v>
      </c>
    </row>
    <row r="35" spans="1:14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 t="str">
        <f t="shared" si="0"/>
        <v>Standard + Minecraft</v>
      </c>
      <c r="N35" s="11">
        <v>15</v>
      </c>
    </row>
    <row r="36" spans="1:14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 t="str">
        <f t="shared" si="0"/>
        <v>Core</v>
      </c>
      <c r="N36" s="11">
        <v>4</v>
      </c>
    </row>
    <row r="37" spans="1:14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 t="str">
        <f t="shared" si="0"/>
        <v>Core</v>
      </c>
      <c r="N37" s="11">
        <v>5</v>
      </c>
    </row>
    <row r="38" spans="1:14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 t="str">
        <f t="shared" si="0"/>
        <v>Ultimate + EA Play + Minecraft</v>
      </c>
      <c r="N38" s="11">
        <v>58</v>
      </c>
    </row>
    <row r="39" spans="1:14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 t="str">
        <f t="shared" si="0"/>
        <v>Standard + Minecraft</v>
      </c>
      <c r="N39" s="11">
        <v>20</v>
      </c>
    </row>
    <row r="40" spans="1:14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 t="str">
        <f t="shared" si="0"/>
        <v>Core</v>
      </c>
      <c r="N40" s="11">
        <v>4</v>
      </c>
    </row>
    <row r="41" spans="1:14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 t="str">
        <f t="shared" si="0"/>
        <v>Ultimate + EA Play + Minecraft</v>
      </c>
      <c r="N41" s="11">
        <v>50</v>
      </c>
    </row>
    <row r="42" spans="1:14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 t="str">
        <f t="shared" si="0"/>
        <v>Standard + Minecraft</v>
      </c>
      <c r="N42" s="11">
        <v>25</v>
      </c>
    </row>
    <row r="43" spans="1:14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 t="str">
        <f t="shared" si="0"/>
        <v>Core</v>
      </c>
      <c r="N43" s="11">
        <v>5</v>
      </c>
    </row>
    <row r="44" spans="1:14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 t="str">
        <f t="shared" si="0"/>
        <v>Ultimate + EA Play + Minecraft</v>
      </c>
      <c r="N44" s="11">
        <v>45</v>
      </c>
    </row>
    <row r="45" spans="1:14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 t="str">
        <f t="shared" si="0"/>
        <v>Standard + Minecraft</v>
      </c>
      <c r="N45" s="11">
        <v>18</v>
      </c>
    </row>
    <row r="46" spans="1:14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 t="str">
        <f t="shared" si="0"/>
        <v>Core</v>
      </c>
      <c r="N46" s="11">
        <v>3</v>
      </c>
    </row>
    <row r="47" spans="1:14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 t="str">
        <f t="shared" si="0"/>
        <v>Ultimate + EA Play + Minecraft</v>
      </c>
      <c r="N47" s="11">
        <v>60</v>
      </c>
    </row>
    <row r="48" spans="1:14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 t="str">
        <f t="shared" si="0"/>
        <v>Standard + Minecraft</v>
      </c>
      <c r="N48" s="11">
        <v>20</v>
      </c>
    </row>
    <row r="49" spans="1:14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 t="str">
        <f t="shared" si="0"/>
        <v>Core</v>
      </c>
      <c r="N49" s="11">
        <v>5</v>
      </c>
    </row>
    <row r="50" spans="1:14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 t="str">
        <f t="shared" si="0"/>
        <v>Ultimate + EA Play + Minecraft</v>
      </c>
      <c r="N50" s="11">
        <v>62</v>
      </c>
    </row>
    <row r="51" spans="1:14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 t="str">
        <f t="shared" si="0"/>
        <v>Standard + Minecraft</v>
      </c>
      <c r="N51" s="11">
        <v>15</v>
      </c>
    </row>
    <row r="52" spans="1:14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 t="str">
        <f t="shared" si="0"/>
        <v>Core</v>
      </c>
      <c r="N52" s="11">
        <v>4</v>
      </c>
    </row>
    <row r="53" spans="1:14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 t="str">
        <f t="shared" si="0"/>
        <v>Ultimate + EA Play + Minecraft</v>
      </c>
      <c r="N53" s="11">
        <v>58</v>
      </c>
    </row>
    <row r="54" spans="1:14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 t="str">
        <f t="shared" si="0"/>
        <v>Standard + Minecraft</v>
      </c>
      <c r="N54" s="11">
        <v>20</v>
      </c>
    </row>
    <row r="55" spans="1:14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 t="str">
        <f t="shared" si="0"/>
        <v>Core</v>
      </c>
      <c r="N55" s="11">
        <v>5</v>
      </c>
    </row>
    <row r="56" spans="1:14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 t="str">
        <f t="shared" si="0"/>
        <v>Ultimate + EA Play + Minecraft</v>
      </c>
      <c r="N56" s="11">
        <v>45</v>
      </c>
    </row>
    <row r="57" spans="1:14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 t="str">
        <f t="shared" si="0"/>
        <v>Standard + Minecraft</v>
      </c>
      <c r="N57" s="11">
        <v>15</v>
      </c>
    </row>
    <row r="58" spans="1:14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 t="str">
        <f t="shared" si="0"/>
        <v>Core</v>
      </c>
      <c r="N58" s="11">
        <v>4</v>
      </c>
    </row>
    <row r="59" spans="1:14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 t="str">
        <f t="shared" si="0"/>
        <v>Ultimate + EA Play + Minecraft</v>
      </c>
      <c r="N59" s="11">
        <v>62</v>
      </c>
    </row>
    <row r="60" spans="1:14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 t="str">
        <f t="shared" si="0"/>
        <v>Standard + Minecraft</v>
      </c>
      <c r="N60" s="11">
        <v>20</v>
      </c>
    </row>
    <row r="61" spans="1:14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 t="str">
        <f t="shared" si="0"/>
        <v>Core</v>
      </c>
      <c r="N61" s="11">
        <v>5</v>
      </c>
    </row>
    <row r="62" spans="1:14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 t="str">
        <f t="shared" si="0"/>
        <v>Ultimate + EA Play + Minecraft</v>
      </c>
      <c r="N62" s="11">
        <v>60</v>
      </c>
    </row>
    <row r="63" spans="1:14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 t="str">
        <f t="shared" si="0"/>
        <v>Standard + Minecraft</v>
      </c>
      <c r="N63" s="11">
        <v>15</v>
      </c>
    </row>
    <row r="64" spans="1:14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 t="str">
        <f t="shared" si="0"/>
        <v>Core</v>
      </c>
      <c r="N64" s="11">
        <v>4</v>
      </c>
    </row>
    <row r="65" spans="1:14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 t="str">
        <f t="shared" si="0"/>
        <v>Ultimate + EA Play + Minecraft</v>
      </c>
      <c r="N65" s="11">
        <v>45</v>
      </c>
    </row>
    <row r="66" spans="1:14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 t="str">
        <f t="shared" ref="M66:M129" si="1" xml:space="preserve"> C66 &amp; IF(H66="Yes", " + EA Play", "") &amp; IF(J66="Yes", " + Minecraft", "")</f>
        <v>Standard + Minecraft</v>
      </c>
      <c r="N66" s="11">
        <v>25</v>
      </c>
    </row>
    <row r="67" spans="1:14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 t="str">
        <f t="shared" si="1"/>
        <v>Core</v>
      </c>
      <c r="N67" s="11">
        <v>5</v>
      </c>
    </row>
    <row r="68" spans="1:14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 t="str">
        <f t="shared" si="1"/>
        <v>Ultimate + EA Play + Minecraft</v>
      </c>
      <c r="N68" s="11">
        <v>58</v>
      </c>
    </row>
    <row r="69" spans="1:14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 t="str">
        <f t="shared" si="1"/>
        <v>Standard + Minecraft</v>
      </c>
      <c r="N69" s="11">
        <v>20</v>
      </c>
    </row>
    <row r="70" spans="1:14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 t="str">
        <f t="shared" si="1"/>
        <v>Core</v>
      </c>
      <c r="N70" s="11">
        <v>4</v>
      </c>
    </row>
    <row r="71" spans="1:14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 t="str">
        <f t="shared" si="1"/>
        <v>Ultimate + EA Play + Minecraft</v>
      </c>
      <c r="N71" s="11">
        <v>50</v>
      </c>
    </row>
    <row r="72" spans="1:14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 t="str">
        <f t="shared" si="1"/>
        <v>Standard + Minecraft</v>
      </c>
      <c r="N72" s="11">
        <v>25</v>
      </c>
    </row>
    <row r="73" spans="1:14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 t="str">
        <f t="shared" si="1"/>
        <v>Core</v>
      </c>
      <c r="N73" s="11">
        <v>5</v>
      </c>
    </row>
    <row r="74" spans="1:14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 t="str">
        <f t="shared" si="1"/>
        <v>Ultimate + EA Play + Minecraft</v>
      </c>
      <c r="N74" s="11">
        <v>45</v>
      </c>
    </row>
    <row r="75" spans="1:14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 t="str">
        <f t="shared" si="1"/>
        <v>Standard + Minecraft</v>
      </c>
      <c r="N75" s="11">
        <v>18</v>
      </c>
    </row>
    <row r="76" spans="1:14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 t="str">
        <f t="shared" si="1"/>
        <v>Core</v>
      </c>
      <c r="N76" s="11">
        <v>3</v>
      </c>
    </row>
    <row r="77" spans="1:14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 t="str">
        <f t="shared" si="1"/>
        <v>Ultimate + EA Play + Minecraft</v>
      </c>
      <c r="N77" s="11">
        <v>60</v>
      </c>
    </row>
    <row r="78" spans="1:14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 t="str">
        <f t="shared" si="1"/>
        <v>Standard + Minecraft</v>
      </c>
      <c r="N78" s="11">
        <v>20</v>
      </c>
    </row>
    <row r="79" spans="1:14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 t="str">
        <f t="shared" si="1"/>
        <v>Core</v>
      </c>
      <c r="N79" s="11">
        <v>5</v>
      </c>
    </row>
    <row r="80" spans="1:14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 t="str">
        <f t="shared" si="1"/>
        <v>Ultimate + EA Play + Minecraft</v>
      </c>
      <c r="N80" s="11">
        <v>62</v>
      </c>
    </row>
    <row r="81" spans="1:14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 t="str">
        <f t="shared" si="1"/>
        <v>Standard + Minecraft</v>
      </c>
      <c r="N81" s="11">
        <v>15</v>
      </c>
    </row>
    <row r="82" spans="1:14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 t="str">
        <f t="shared" si="1"/>
        <v>Core</v>
      </c>
      <c r="N82" s="11">
        <v>4</v>
      </c>
    </row>
    <row r="83" spans="1:14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 t="str">
        <f t="shared" si="1"/>
        <v>Ultimate + EA Play + Minecraft</v>
      </c>
      <c r="N83" s="11">
        <v>58</v>
      </c>
    </row>
    <row r="84" spans="1:14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 t="str">
        <f t="shared" si="1"/>
        <v>Standard + Minecraft</v>
      </c>
      <c r="N84" s="11">
        <v>20</v>
      </c>
    </row>
    <row r="85" spans="1:14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 t="str">
        <f t="shared" si="1"/>
        <v>Core</v>
      </c>
      <c r="N85" s="11">
        <v>5</v>
      </c>
    </row>
    <row r="86" spans="1:14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 t="str">
        <f t="shared" si="1"/>
        <v>Ultimate + EA Play + Minecraft</v>
      </c>
      <c r="N86" s="11">
        <v>45</v>
      </c>
    </row>
    <row r="87" spans="1:14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 t="str">
        <f t="shared" si="1"/>
        <v>Standard + Minecraft</v>
      </c>
      <c r="N87" s="11">
        <v>15</v>
      </c>
    </row>
    <row r="88" spans="1:14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 t="str">
        <f t="shared" si="1"/>
        <v>Core</v>
      </c>
      <c r="N88" s="11">
        <v>4</v>
      </c>
    </row>
    <row r="89" spans="1:14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 t="str">
        <f t="shared" si="1"/>
        <v>Ultimate + EA Play + Minecraft</v>
      </c>
      <c r="N89" s="11">
        <v>62</v>
      </c>
    </row>
    <row r="90" spans="1:14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 t="str">
        <f t="shared" si="1"/>
        <v>Standard + Minecraft</v>
      </c>
      <c r="N90" s="11">
        <v>20</v>
      </c>
    </row>
    <row r="91" spans="1:14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 t="str">
        <f t="shared" si="1"/>
        <v>Core</v>
      </c>
      <c r="N91" s="11">
        <v>5</v>
      </c>
    </row>
    <row r="92" spans="1:14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 t="str">
        <f t="shared" si="1"/>
        <v>Ultimate + EA Play + Minecraft</v>
      </c>
      <c r="N92" s="11">
        <v>60</v>
      </c>
    </row>
    <row r="93" spans="1:14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 t="str">
        <f t="shared" si="1"/>
        <v>Standard + Minecraft</v>
      </c>
      <c r="N93" s="11">
        <v>15</v>
      </c>
    </row>
    <row r="94" spans="1:14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 t="str">
        <f t="shared" si="1"/>
        <v>Core</v>
      </c>
      <c r="N94" s="11">
        <v>4</v>
      </c>
    </row>
    <row r="95" spans="1:14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 t="str">
        <f t="shared" si="1"/>
        <v>Ultimate + EA Play + Minecraft</v>
      </c>
      <c r="N95" s="11">
        <v>45</v>
      </c>
    </row>
    <row r="96" spans="1:14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 t="str">
        <f t="shared" si="1"/>
        <v>Standard + Minecraft</v>
      </c>
      <c r="N96" s="11">
        <v>15</v>
      </c>
    </row>
    <row r="97" spans="1:14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 t="str">
        <f t="shared" si="1"/>
        <v>Core</v>
      </c>
      <c r="N97" s="11">
        <v>5</v>
      </c>
    </row>
    <row r="98" spans="1:14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 t="str">
        <f t="shared" si="1"/>
        <v>Ultimate + EA Play + Minecraft</v>
      </c>
      <c r="N98" s="11">
        <v>58</v>
      </c>
    </row>
    <row r="99" spans="1:14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 t="str">
        <f t="shared" si="1"/>
        <v>Standard + Minecraft</v>
      </c>
      <c r="N99" s="11">
        <v>20</v>
      </c>
    </row>
    <row r="100" spans="1:14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 t="str">
        <f t="shared" si="1"/>
        <v>Core</v>
      </c>
      <c r="N100" s="11">
        <v>4</v>
      </c>
    </row>
    <row r="101" spans="1:14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 t="str">
        <f t="shared" si="1"/>
        <v>Ultimate + EA Play + Minecraft</v>
      </c>
      <c r="N101" s="11">
        <v>50</v>
      </c>
    </row>
    <row r="102" spans="1:14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 t="str">
        <f t="shared" si="1"/>
        <v>Standard + Minecraft</v>
      </c>
      <c r="N102" s="11">
        <v>25</v>
      </c>
    </row>
    <row r="103" spans="1:14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 t="str">
        <f t="shared" si="1"/>
        <v>Core</v>
      </c>
      <c r="N103" s="11">
        <v>5</v>
      </c>
    </row>
    <row r="104" spans="1:14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 t="str">
        <f t="shared" si="1"/>
        <v>Ultimate + EA Play + Minecraft</v>
      </c>
      <c r="N104" s="11">
        <v>45</v>
      </c>
    </row>
    <row r="105" spans="1:14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 t="str">
        <f t="shared" si="1"/>
        <v>Standard + Minecraft</v>
      </c>
      <c r="N105" s="11">
        <v>18</v>
      </c>
    </row>
    <row r="106" spans="1:14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 t="str">
        <f t="shared" si="1"/>
        <v>Core</v>
      </c>
      <c r="N106" s="11">
        <v>3</v>
      </c>
    </row>
    <row r="107" spans="1:14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 t="str">
        <f t="shared" si="1"/>
        <v>Core</v>
      </c>
      <c r="N107" s="11">
        <v>5</v>
      </c>
    </row>
    <row r="108" spans="1:14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 t="str">
        <f t="shared" si="1"/>
        <v>Ultimate + EA Play + Minecraft</v>
      </c>
      <c r="N108" s="11">
        <v>58</v>
      </c>
    </row>
    <row r="109" spans="1:14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 t="str">
        <f t="shared" si="1"/>
        <v>Standard + Minecraft</v>
      </c>
      <c r="N109" s="11">
        <v>20</v>
      </c>
    </row>
    <row r="110" spans="1:14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 t="str">
        <f t="shared" si="1"/>
        <v>Core</v>
      </c>
      <c r="N110" s="11">
        <v>4</v>
      </c>
    </row>
    <row r="111" spans="1:14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 t="str">
        <f t="shared" si="1"/>
        <v>Ultimate + EA Play + Minecraft</v>
      </c>
      <c r="N111" s="11">
        <v>50</v>
      </c>
    </row>
    <row r="112" spans="1:14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 t="str">
        <f t="shared" si="1"/>
        <v>Standard + Minecraft</v>
      </c>
      <c r="N112" s="11">
        <v>25</v>
      </c>
    </row>
    <row r="113" spans="1:14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 t="str">
        <f t="shared" si="1"/>
        <v>Core</v>
      </c>
      <c r="N113" s="11">
        <v>5</v>
      </c>
    </row>
    <row r="114" spans="1:14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 t="str">
        <f t="shared" si="1"/>
        <v>Ultimate + EA Play + Minecraft</v>
      </c>
      <c r="N114" s="11">
        <v>45</v>
      </c>
    </row>
    <row r="115" spans="1:14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 t="str">
        <f t="shared" si="1"/>
        <v>Standard + Minecraft</v>
      </c>
      <c r="N115" s="11">
        <v>18</v>
      </c>
    </row>
    <row r="116" spans="1:14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 t="str">
        <f t="shared" si="1"/>
        <v>Core</v>
      </c>
      <c r="N116" s="11">
        <v>3</v>
      </c>
    </row>
    <row r="117" spans="1:14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 t="str">
        <f t="shared" si="1"/>
        <v>Ultimate + EA Play + Minecraft</v>
      </c>
      <c r="N117" s="11">
        <v>60</v>
      </c>
    </row>
    <row r="118" spans="1:14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 t="str">
        <f t="shared" si="1"/>
        <v>Standard + Minecraft</v>
      </c>
      <c r="N118" s="11">
        <v>20</v>
      </c>
    </row>
    <row r="119" spans="1:14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 t="str">
        <f t="shared" si="1"/>
        <v>Core</v>
      </c>
      <c r="N119" s="11">
        <v>5</v>
      </c>
    </row>
    <row r="120" spans="1:14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 t="str">
        <f t="shared" si="1"/>
        <v>Ultimate + EA Play + Minecraft</v>
      </c>
      <c r="N120" s="11">
        <v>62</v>
      </c>
    </row>
    <row r="121" spans="1:14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 t="str">
        <f t="shared" si="1"/>
        <v>Standard + Minecraft</v>
      </c>
      <c r="N121" s="11">
        <v>15</v>
      </c>
    </row>
    <row r="122" spans="1:14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 t="str">
        <f t="shared" si="1"/>
        <v>Core</v>
      </c>
      <c r="N122" s="11">
        <v>4</v>
      </c>
    </row>
    <row r="123" spans="1:14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 t="str">
        <f t="shared" si="1"/>
        <v>Ultimate + EA Play + Minecraft</v>
      </c>
      <c r="N123" s="11">
        <v>58</v>
      </c>
    </row>
    <row r="124" spans="1:14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 t="str">
        <f t="shared" si="1"/>
        <v>Standard + Minecraft</v>
      </c>
      <c r="N124" s="11">
        <v>20</v>
      </c>
    </row>
    <row r="125" spans="1:14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 t="str">
        <f t="shared" si="1"/>
        <v>Core</v>
      </c>
      <c r="N125" s="11">
        <v>5</v>
      </c>
    </row>
    <row r="126" spans="1:14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 t="str">
        <f t="shared" si="1"/>
        <v>Ultimate + EA Play + Minecraft</v>
      </c>
      <c r="N126" s="11">
        <v>45</v>
      </c>
    </row>
    <row r="127" spans="1:14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 t="str">
        <f t="shared" si="1"/>
        <v>Standard + Minecraft</v>
      </c>
      <c r="N127" s="11">
        <v>15</v>
      </c>
    </row>
    <row r="128" spans="1:14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 t="str">
        <f t="shared" si="1"/>
        <v>Core</v>
      </c>
      <c r="N128" s="11">
        <v>4</v>
      </c>
    </row>
    <row r="129" spans="1:14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 t="str">
        <f t="shared" si="1"/>
        <v>Ultimate + EA Play + Minecraft</v>
      </c>
      <c r="N129" s="11">
        <v>62</v>
      </c>
    </row>
    <row r="130" spans="1:14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 t="str">
        <f t="shared" ref="M130:M193" si="2" xml:space="preserve"> C130 &amp; IF(H130="Yes", " + EA Play", "") &amp; IF(J130="Yes", " + Minecraft", "")</f>
        <v>Standard + Minecraft</v>
      </c>
      <c r="N130" s="11">
        <v>20</v>
      </c>
    </row>
    <row r="131" spans="1:14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 t="str">
        <f t="shared" si="2"/>
        <v>Core</v>
      </c>
      <c r="N131" s="11">
        <v>5</v>
      </c>
    </row>
    <row r="132" spans="1:14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 t="str">
        <f t="shared" si="2"/>
        <v>Ultimate + EA Play + Minecraft</v>
      </c>
      <c r="N132" s="11">
        <v>50</v>
      </c>
    </row>
    <row r="133" spans="1:14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 t="str">
        <f t="shared" si="2"/>
        <v>Standard + Minecraft</v>
      </c>
      <c r="N133" s="11">
        <v>15</v>
      </c>
    </row>
    <row r="134" spans="1:14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 t="str">
        <f t="shared" si="2"/>
        <v>Core</v>
      </c>
      <c r="N134" s="11">
        <v>4</v>
      </c>
    </row>
    <row r="135" spans="1:14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 t="str">
        <f t="shared" si="2"/>
        <v>Ultimate + EA Play + Minecraft</v>
      </c>
      <c r="N135" s="11">
        <v>58</v>
      </c>
    </row>
    <row r="136" spans="1:14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 t="str">
        <f t="shared" si="2"/>
        <v>Standard + Minecraft</v>
      </c>
      <c r="N136" s="11">
        <v>20</v>
      </c>
    </row>
    <row r="137" spans="1:14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 t="str">
        <f t="shared" si="2"/>
        <v>Core</v>
      </c>
      <c r="N137" s="11">
        <v>5</v>
      </c>
    </row>
    <row r="138" spans="1:14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 t="str">
        <f t="shared" si="2"/>
        <v>Ultimate + EA Play + Minecraft</v>
      </c>
      <c r="N138" s="11">
        <v>58</v>
      </c>
    </row>
    <row r="139" spans="1:14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 t="str">
        <f t="shared" si="2"/>
        <v>Standard + Minecraft</v>
      </c>
      <c r="N139" s="11">
        <v>20</v>
      </c>
    </row>
    <row r="140" spans="1:14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 t="str">
        <f t="shared" si="2"/>
        <v>Core</v>
      </c>
      <c r="N140" s="11">
        <v>4</v>
      </c>
    </row>
    <row r="141" spans="1:14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 t="str">
        <f t="shared" si="2"/>
        <v>Ultimate + EA Play + Minecraft</v>
      </c>
      <c r="N141" s="11">
        <v>50</v>
      </c>
    </row>
    <row r="142" spans="1:14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 t="str">
        <f t="shared" si="2"/>
        <v>Standard + Minecraft</v>
      </c>
      <c r="N142" s="11">
        <v>25</v>
      </c>
    </row>
    <row r="143" spans="1:14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 t="str">
        <f t="shared" si="2"/>
        <v>Core</v>
      </c>
      <c r="N143" s="11">
        <v>5</v>
      </c>
    </row>
    <row r="144" spans="1:14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 t="str">
        <f t="shared" si="2"/>
        <v>Ultimate + EA Play + Minecraft</v>
      </c>
      <c r="N144" s="11">
        <v>45</v>
      </c>
    </row>
    <row r="145" spans="1:14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 t="str">
        <f t="shared" si="2"/>
        <v>Standard + Minecraft</v>
      </c>
      <c r="N145" s="11">
        <v>18</v>
      </c>
    </row>
    <row r="146" spans="1:14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 t="str">
        <f t="shared" si="2"/>
        <v>Core</v>
      </c>
      <c r="N146" s="11">
        <v>3</v>
      </c>
    </row>
    <row r="147" spans="1:14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 t="str">
        <f t="shared" si="2"/>
        <v>Ultimate + EA Play + Minecraft</v>
      </c>
      <c r="N147" s="11">
        <v>60</v>
      </c>
    </row>
    <row r="148" spans="1:14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 t="str">
        <f t="shared" si="2"/>
        <v>Standard + Minecraft</v>
      </c>
      <c r="N148" s="11">
        <v>20</v>
      </c>
    </row>
    <row r="149" spans="1:14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 t="str">
        <f t="shared" si="2"/>
        <v>Core</v>
      </c>
      <c r="N149" s="11">
        <v>5</v>
      </c>
    </row>
    <row r="150" spans="1:14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 t="str">
        <f t="shared" si="2"/>
        <v>Ultimate + EA Play + Minecraft</v>
      </c>
      <c r="N150" s="11">
        <v>62</v>
      </c>
    </row>
    <row r="151" spans="1:14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 t="str">
        <f t="shared" si="2"/>
        <v>Standard + Minecraft</v>
      </c>
      <c r="N151" s="11">
        <v>15</v>
      </c>
    </row>
    <row r="152" spans="1:14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 t="str">
        <f t="shared" si="2"/>
        <v>Core</v>
      </c>
      <c r="N152" s="11">
        <v>4</v>
      </c>
    </row>
    <row r="153" spans="1:14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 t="str">
        <f t="shared" si="2"/>
        <v>Ultimate + EA Play + Minecraft</v>
      </c>
      <c r="N153" s="11">
        <v>58</v>
      </c>
    </row>
    <row r="154" spans="1:14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 t="str">
        <f t="shared" si="2"/>
        <v>Standard + Minecraft</v>
      </c>
      <c r="N154" s="11">
        <v>20</v>
      </c>
    </row>
    <row r="155" spans="1:14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 t="str">
        <f t="shared" si="2"/>
        <v>Core</v>
      </c>
      <c r="N155" s="11">
        <v>5</v>
      </c>
    </row>
    <row r="156" spans="1:14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 t="str">
        <f t="shared" si="2"/>
        <v>Ultimate + EA Play + Minecraft</v>
      </c>
      <c r="N156" s="11">
        <v>45</v>
      </c>
    </row>
    <row r="157" spans="1:14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 t="str">
        <f t="shared" si="2"/>
        <v>Standard + Minecraft</v>
      </c>
      <c r="N157" s="11">
        <v>15</v>
      </c>
    </row>
    <row r="158" spans="1:14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 t="str">
        <f t="shared" si="2"/>
        <v>Core</v>
      </c>
      <c r="N158" s="11">
        <v>4</v>
      </c>
    </row>
    <row r="159" spans="1:14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 t="str">
        <f t="shared" si="2"/>
        <v>Ultimate + EA Play + Minecraft</v>
      </c>
      <c r="N159" s="11">
        <v>62</v>
      </c>
    </row>
    <row r="160" spans="1:14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 t="str">
        <f t="shared" si="2"/>
        <v>Standard + Minecraft</v>
      </c>
      <c r="N160" s="11">
        <v>20</v>
      </c>
    </row>
    <row r="161" spans="1:14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 t="str">
        <f t="shared" si="2"/>
        <v>Core</v>
      </c>
      <c r="N161" s="11">
        <v>5</v>
      </c>
    </row>
    <row r="162" spans="1:14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 t="str">
        <f t="shared" si="2"/>
        <v>Ultimate + EA Play + Minecraft</v>
      </c>
      <c r="N162" s="11">
        <v>50</v>
      </c>
    </row>
    <row r="163" spans="1:14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 t="str">
        <f t="shared" si="2"/>
        <v>Standard + Minecraft</v>
      </c>
      <c r="N163" s="11">
        <v>15</v>
      </c>
    </row>
    <row r="164" spans="1:14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 t="str">
        <f t="shared" si="2"/>
        <v>Core</v>
      </c>
      <c r="N164" s="11">
        <v>4</v>
      </c>
    </row>
    <row r="165" spans="1:14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 t="str">
        <f t="shared" si="2"/>
        <v>Ultimate + EA Play + Minecraft</v>
      </c>
      <c r="N165" s="11">
        <v>58</v>
      </c>
    </row>
    <row r="166" spans="1:14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 t="str">
        <f t="shared" si="2"/>
        <v>Standard + Minecraft</v>
      </c>
      <c r="N166" s="11">
        <v>20</v>
      </c>
    </row>
    <row r="167" spans="1:14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 t="str">
        <f t="shared" si="2"/>
        <v>Core</v>
      </c>
      <c r="N167" s="11">
        <v>5</v>
      </c>
    </row>
    <row r="168" spans="1:14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 t="str">
        <f t="shared" si="2"/>
        <v>Ultimate + EA Play + Minecraft</v>
      </c>
      <c r="N168" s="11">
        <v>45</v>
      </c>
    </row>
    <row r="169" spans="1:14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 t="str">
        <f t="shared" si="2"/>
        <v>Standard + Minecraft</v>
      </c>
      <c r="N169" s="11">
        <v>15</v>
      </c>
    </row>
    <row r="170" spans="1:14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 t="str">
        <f t="shared" si="2"/>
        <v>Core</v>
      </c>
      <c r="N170" s="11">
        <v>4</v>
      </c>
    </row>
    <row r="171" spans="1:14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 t="str">
        <f t="shared" si="2"/>
        <v>Ultimate + EA Play + Minecraft</v>
      </c>
      <c r="N171" s="11">
        <v>60</v>
      </c>
    </row>
    <row r="172" spans="1:14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 t="str">
        <f t="shared" si="2"/>
        <v>Standard + Minecraft</v>
      </c>
      <c r="N172" s="11">
        <v>20</v>
      </c>
    </row>
    <row r="173" spans="1:14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 t="str">
        <f t="shared" si="2"/>
        <v>Core</v>
      </c>
      <c r="N173" s="11">
        <v>5</v>
      </c>
    </row>
    <row r="174" spans="1:14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 t="str">
        <f t="shared" si="2"/>
        <v>Ultimate + EA Play + Minecraft</v>
      </c>
      <c r="N174" s="11">
        <v>62</v>
      </c>
    </row>
    <row r="175" spans="1:14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 t="str">
        <f t="shared" si="2"/>
        <v>Standard + Minecraft</v>
      </c>
      <c r="N175" s="11">
        <v>15</v>
      </c>
    </row>
    <row r="176" spans="1:14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 t="str">
        <f t="shared" si="2"/>
        <v>Core</v>
      </c>
      <c r="N176" s="11">
        <v>4</v>
      </c>
    </row>
    <row r="177" spans="1:14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 t="str">
        <f t="shared" si="2"/>
        <v>Core</v>
      </c>
      <c r="N177" s="11">
        <v>5</v>
      </c>
    </row>
    <row r="178" spans="1:14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 t="str">
        <f t="shared" si="2"/>
        <v>Ultimate + EA Play + Minecraft</v>
      </c>
      <c r="N178" s="11">
        <v>58</v>
      </c>
    </row>
    <row r="179" spans="1:14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 t="str">
        <f t="shared" si="2"/>
        <v>Standard + Minecraft</v>
      </c>
      <c r="N179" s="11">
        <v>20</v>
      </c>
    </row>
    <row r="180" spans="1:14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 t="str">
        <f t="shared" si="2"/>
        <v>Core</v>
      </c>
      <c r="N180" s="11">
        <v>4</v>
      </c>
    </row>
    <row r="181" spans="1:14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 t="str">
        <f t="shared" si="2"/>
        <v>Ultimate + EA Play + Minecraft</v>
      </c>
      <c r="N181" s="11">
        <v>50</v>
      </c>
    </row>
    <row r="182" spans="1:14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 t="str">
        <f t="shared" si="2"/>
        <v>Standard + Minecraft</v>
      </c>
      <c r="N182" s="11">
        <v>25</v>
      </c>
    </row>
    <row r="183" spans="1:14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 t="str">
        <f t="shared" si="2"/>
        <v>Core</v>
      </c>
      <c r="N183" s="11">
        <v>5</v>
      </c>
    </row>
    <row r="184" spans="1:14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 t="str">
        <f t="shared" si="2"/>
        <v>Ultimate + EA Play + Minecraft</v>
      </c>
      <c r="N184" s="11">
        <v>45</v>
      </c>
    </row>
    <row r="185" spans="1:14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 t="str">
        <f t="shared" si="2"/>
        <v>Standard + Minecraft</v>
      </c>
      <c r="N185" s="11">
        <v>18</v>
      </c>
    </row>
    <row r="186" spans="1:14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 t="str">
        <f t="shared" si="2"/>
        <v>Core</v>
      </c>
      <c r="N186" s="11">
        <v>3</v>
      </c>
    </row>
    <row r="187" spans="1:14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 t="str">
        <f t="shared" si="2"/>
        <v>Ultimate + EA Play + Minecraft</v>
      </c>
      <c r="N187" s="11">
        <v>60</v>
      </c>
    </row>
    <row r="188" spans="1:14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 t="str">
        <f t="shared" si="2"/>
        <v>Standard + Minecraft</v>
      </c>
      <c r="N188" s="11">
        <v>20</v>
      </c>
    </row>
    <row r="189" spans="1:14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 t="str">
        <f t="shared" si="2"/>
        <v>Core</v>
      </c>
      <c r="N189" s="11">
        <v>5</v>
      </c>
    </row>
    <row r="190" spans="1:14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 t="str">
        <f t="shared" si="2"/>
        <v>Ultimate + EA Play + Minecraft</v>
      </c>
      <c r="N190" s="11">
        <v>62</v>
      </c>
    </row>
    <row r="191" spans="1:14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 t="str">
        <f t="shared" si="2"/>
        <v>Standard + Minecraft</v>
      </c>
      <c r="N191" s="11">
        <v>15</v>
      </c>
    </row>
    <row r="192" spans="1:14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 t="str">
        <f t="shared" si="2"/>
        <v>Core</v>
      </c>
      <c r="N192" s="11">
        <v>4</v>
      </c>
    </row>
    <row r="193" spans="1:14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 t="str">
        <f t="shared" si="2"/>
        <v>Ultimate + EA Play + Minecraft</v>
      </c>
      <c r="N193" s="11">
        <v>58</v>
      </c>
    </row>
    <row r="194" spans="1:14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 t="str">
        <f t="shared" ref="M194:M257" si="3" xml:space="preserve"> C194 &amp; IF(H194="Yes", " + EA Play", "") &amp; IF(J194="Yes", " + Minecraft", "")</f>
        <v>Standard + Minecraft</v>
      </c>
      <c r="N194" s="11">
        <v>20</v>
      </c>
    </row>
    <row r="195" spans="1:14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 t="str">
        <f t="shared" si="3"/>
        <v>Core</v>
      </c>
      <c r="N195" s="11">
        <v>5</v>
      </c>
    </row>
    <row r="196" spans="1:14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 t="str">
        <f t="shared" si="3"/>
        <v>Ultimate + EA Play + Minecraft</v>
      </c>
      <c r="N196" s="11">
        <v>45</v>
      </c>
    </row>
    <row r="197" spans="1:14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 t="str">
        <f t="shared" si="3"/>
        <v>Standard + Minecraft</v>
      </c>
      <c r="N197" s="11">
        <v>15</v>
      </c>
    </row>
    <row r="198" spans="1:14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 t="str">
        <f t="shared" si="3"/>
        <v>Core</v>
      </c>
      <c r="N198" s="11">
        <v>4</v>
      </c>
    </row>
    <row r="199" spans="1:14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 t="str">
        <f t="shared" si="3"/>
        <v>Ultimate + EA Play + Minecraft</v>
      </c>
      <c r="N199" s="11">
        <v>62</v>
      </c>
    </row>
    <row r="200" spans="1:14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 t="str">
        <f t="shared" si="3"/>
        <v>Standard + Minecraft</v>
      </c>
      <c r="N200" s="11">
        <v>20</v>
      </c>
    </row>
    <row r="201" spans="1:14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 t="str">
        <f t="shared" si="3"/>
        <v>Core</v>
      </c>
      <c r="N201" s="11">
        <v>5</v>
      </c>
    </row>
    <row r="202" spans="1:14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 t="str">
        <f t="shared" si="3"/>
        <v>Ultimate + EA Play + Minecraft</v>
      </c>
      <c r="N202" s="11">
        <v>50</v>
      </c>
    </row>
    <row r="203" spans="1:14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 t="str">
        <f t="shared" si="3"/>
        <v>Standard + Minecraft</v>
      </c>
      <c r="N203" s="11">
        <v>15</v>
      </c>
    </row>
    <row r="204" spans="1:14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 t="str">
        <f t="shared" si="3"/>
        <v>Core</v>
      </c>
      <c r="N204" s="11">
        <v>4</v>
      </c>
    </row>
    <row r="205" spans="1:14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 t="str">
        <f t="shared" si="3"/>
        <v>Ultimate + EA Play + Minecraft</v>
      </c>
      <c r="N205" s="11">
        <v>58</v>
      </c>
    </row>
    <row r="206" spans="1:14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 t="str">
        <f t="shared" si="3"/>
        <v>Standard + Minecraft</v>
      </c>
      <c r="N206" s="11">
        <v>20</v>
      </c>
    </row>
    <row r="207" spans="1:14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 t="str">
        <f t="shared" si="3"/>
        <v>Core</v>
      </c>
      <c r="N207" s="11">
        <v>5</v>
      </c>
    </row>
    <row r="208" spans="1:14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 t="str">
        <f t="shared" si="3"/>
        <v>Ultimate + EA Play + Minecraft</v>
      </c>
      <c r="N208" s="11">
        <v>58</v>
      </c>
    </row>
    <row r="209" spans="1:14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 t="str">
        <f t="shared" si="3"/>
        <v>Standard + Minecraft</v>
      </c>
      <c r="N209" s="11">
        <v>20</v>
      </c>
    </row>
    <row r="210" spans="1:14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 t="str">
        <f t="shared" si="3"/>
        <v>Core</v>
      </c>
      <c r="N210" s="11">
        <v>4</v>
      </c>
    </row>
    <row r="211" spans="1:14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 t="str">
        <f t="shared" si="3"/>
        <v>Ultimate + EA Play + Minecraft</v>
      </c>
      <c r="N211" s="11">
        <v>50</v>
      </c>
    </row>
    <row r="212" spans="1:14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 t="str">
        <f t="shared" si="3"/>
        <v>Standard + Minecraft</v>
      </c>
      <c r="N212" s="11">
        <v>25</v>
      </c>
    </row>
    <row r="213" spans="1:14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 t="str">
        <f t="shared" si="3"/>
        <v>Core</v>
      </c>
      <c r="N213" s="11">
        <v>5</v>
      </c>
    </row>
    <row r="214" spans="1:14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 t="str">
        <f t="shared" si="3"/>
        <v>Ultimate + EA Play + Minecraft</v>
      </c>
      <c r="N214" s="11">
        <v>45</v>
      </c>
    </row>
    <row r="215" spans="1:14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 t="str">
        <f t="shared" si="3"/>
        <v>Standard + Minecraft</v>
      </c>
      <c r="N215" s="11">
        <v>18</v>
      </c>
    </row>
    <row r="216" spans="1:14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 t="str">
        <f t="shared" si="3"/>
        <v>Core</v>
      </c>
      <c r="N216" s="11">
        <v>3</v>
      </c>
    </row>
    <row r="217" spans="1:14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 t="str">
        <f t="shared" si="3"/>
        <v>Ultimate + EA Play + Minecraft</v>
      </c>
      <c r="N217" s="11">
        <v>60</v>
      </c>
    </row>
    <row r="218" spans="1:14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 t="str">
        <f t="shared" si="3"/>
        <v>Standard + Minecraft</v>
      </c>
      <c r="N218" s="11">
        <v>20</v>
      </c>
    </row>
    <row r="219" spans="1:14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 t="str">
        <f t="shared" si="3"/>
        <v>Core</v>
      </c>
      <c r="N219" s="11">
        <v>5</v>
      </c>
    </row>
    <row r="220" spans="1:14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 t="str">
        <f t="shared" si="3"/>
        <v>Ultimate + EA Play + Minecraft</v>
      </c>
      <c r="N220" s="11">
        <v>62</v>
      </c>
    </row>
    <row r="221" spans="1:14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 t="str">
        <f t="shared" si="3"/>
        <v>Standard + Minecraft</v>
      </c>
      <c r="N221" s="11">
        <v>15</v>
      </c>
    </row>
    <row r="222" spans="1:14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 t="str">
        <f t="shared" si="3"/>
        <v>Core</v>
      </c>
      <c r="N222" s="11">
        <v>4</v>
      </c>
    </row>
    <row r="223" spans="1:14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 t="str">
        <f t="shared" si="3"/>
        <v>Ultimate + EA Play + Minecraft</v>
      </c>
      <c r="N223" s="11">
        <v>58</v>
      </c>
    </row>
    <row r="224" spans="1:14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 t="str">
        <f t="shared" si="3"/>
        <v>Standard + Minecraft</v>
      </c>
      <c r="N224" s="11">
        <v>20</v>
      </c>
    </row>
    <row r="225" spans="1:14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 t="str">
        <f t="shared" si="3"/>
        <v>Core</v>
      </c>
      <c r="N225" s="11">
        <v>5</v>
      </c>
    </row>
    <row r="226" spans="1:14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 t="str">
        <f t="shared" si="3"/>
        <v>Ultimate + EA Play + Minecraft</v>
      </c>
      <c r="N226" s="11">
        <v>45</v>
      </c>
    </row>
    <row r="227" spans="1:14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 t="str">
        <f t="shared" si="3"/>
        <v>Standard + Minecraft</v>
      </c>
      <c r="N227" s="11">
        <v>15</v>
      </c>
    </row>
    <row r="228" spans="1:14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 t="str">
        <f t="shared" si="3"/>
        <v>Core</v>
      </c>
      <c r="N228" s="11">
        <v>4</v>
      </c>
    </row>
    <row r="229" spans="1:14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 t="str">
        <f t="shared" si="3"/>
        <v>Ultimate + EA Play + Minecraft</v>
      </c>
      <c r="N229" s="11">
        <v>62</v>
      </c>
    </row>
    <row r="230" spans="1:14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 t="str">
        <f t="shared" si="3"/>
        <v>Standard + Minecraft</v>
      </c>
      <c r="N230" s="11">
        <v>20</v>
      </c>
    </row>
    <row r="231" spans="1:14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 t="str">
        <f t="shared" si="3"/>
        <v>Core</v>
      </c>
      <c r="N231" s="11">
        <v>5</v>
      </c>
    </row>
    <row r="232" spans="1:14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 t="str">
        <f t="shared" si="3"/>
        <v>Ultimate + EA Play + Minecraft</v>
      </c>
      <c r="N232" s="11">
        <v>50</v>
      </c>
    </row>
    <row r="233" spans="1:14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 t="str">
        <f t="shared" si="3"/>
        <v>Standard + Minecraft</v>
      </c>
      <c r="N233" s="11">
        <v>15</v>
      </c>
    </row>
    <row r="234" spans="1:14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 t="str">
        <f t="shared" si="3"/>
        <v>Core</v>
      </c>
      <c r="N234" s="11">
        <v>4</v>
      </c>
    </row>
    <row r="235" spans="1:14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 t="str">
        <f t="shared" si="3"/>
        <v>Ultimate + EA Play + Minecraft</v>
      </c>
      <c r="N235" s="11">
        <v>58</v>
      </c>
    </row>
    <row r="236" spans="1:14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 t="str">
        <f t="shared" si="3"/>
        <v>Standard + Minecraft</v>
      </c>
      <c r="N236" s="11">
        <v>20</v>
      </c>
    </row>
    <row r="237" spans="1:14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 t="str">
        <f t="shared" si="3"/>
        <v>Core</v>
      </c>
      <c r="N237" s="11">
        <v>5</v>
      </c>
    </row>
    <row r="238" spans="1:14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 t="str">
        <f t="shared" si="3"/>
        <v>Ultimate + EA Play + Minecraft</v>
      </c>
      <c r="N238" s="11">
        <v>50</v>
      </c>
    </row>
    <row r="239" spans="1:14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 t="str">
        <f t="shared" si="3"/>
        <v>Standard + Minecraft</v>
      </c>
      <c r="N239" s="11">
        <v>18</v>
      </c>
    </row>
    <row r="240" spans="1:14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 t="str">
        <f t="shared" si="3"/>
        <v>Core</v>
      </c>
      <c r="N240" s="11">
        <v>3</v>
      </c>
    </row>
    <row r="241" spans="1:14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 t="str">
        <f t="shared" si="3"/>
        <v>Ultimate + EA Play + Minecraft</v>
      </c>
      <c r="N241" s="11">
        <v>60</v>
      </c>
    </row>
    <row r="242" spans="1:14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 t="str">
        <f t="shared" si="3"/>
        <v>Standard + Minecraft</v>
      </c>
      <c r="N242" s="11">
        <v>20</v>
      </c>
    </row>
    <row r="243" spans="1:14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 t="str">
        <f t="shared" si="3"/>
        <v>Core</v>
      </c>
      <c r="N243" s="11">
        <v>5</v>
      </c>
    </row>
    <row r="244" spans="1:14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 t="str">
        <f t="shared" si="3"/>
        <v>Ultimate + EA Play + Minecraft</v>
      </c>
      <c r="N244" s="11">
        <v>62</v>
      </c>
    </row>
    <row r="245" spans="1:14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 t="str">
        <f t="shared" si="3"/>
        <v>Standard + Minecraft</v>
      </c>
      <c r="N245" s="11">
        <v>15</v>
      </c>
    </row>
    <row r="246" spans="1:14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 t="str">
        <f t="shared" si="3"/>
        <v>Core</v>
      </c>
      <c r="N246" s="11">
        <v>4</v>
      </c>
    </row>
    <row r="247" spans="1:14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 t="str">
        <f t="shared" si="3"/>
        <v>Ultimate + EA Play + Minecraft</v>
      </c>
      <c r="N247" s="11">
        <v>58</v>
      </c>
    </row>
    <row r="248" spans="1:14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 t="str">
        <f t="shared" si="3"/>
        <v>Standard + Minecraft</v>
      </c>
      <c r="N248" s="11">
        <v>20</v>
      </c>
    </row>
    <row r="249" spans="1:14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 t="str">
        <f t="shared" si="3"/>
        <v>Core</v>
      </c>
      <c r="N249" s="11">
        <v>5</v>
      </c>
    </row>
    <row r="250" spans="1:14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 t="str">
        <f t="shared" si="3"/>
        <v>Ultimate + EA Play + Minecraft</v>
      </c>
      <c r="N250" s="11">
        <v>45</v>
      </c>
    </row>
    <row r="251" spans="1:14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 t="str">
        <f t="shared" si="3"/>
        <v>Standard + Minecraft</v>
      </c>
      <c r="N251" s="11">
        <v>15</v>
      </c>
    </row>
    <row r="252" spans="1:14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 t="str">
        <f t="shared" si="3"/>
        <v>Core</v>
      </c>
      <c r="N252" s="11">
        <v>4</v>
      </c>
    </row>
    <row r="253" spans="1:14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 t="str">
        <f t="shared" si="3"/>
        <v>Ultimate + EA Play + Minecraft</v>
      </c>
      <c r="N253" s="11">
        <v>62</v>
      </c>
    </row>
    <row r="254" spans="1:14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 t="str">
        <f t="shared" si="3"/>
        <v>Standard + Minecraft</v>
      </c>
      <c r="N254" s="11">
        <v>20</v>
      </c>
    </row>
    <row r="255" spans="1:14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 t="str">
        <f t="shared" si="3"/>
        <v>Core</v>
      </c>
      <c r="N255" s="11">
        <v>5</v>
      </c>
    </row>
    <row r="256" spans="1:14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 t="str">
        <f t="shared" si="3"/>
        <v>Ultimate + EA Play + Minecraft</v>
      </c>
      <c r="N256" s="11">
        <v>50</v>
      </c>
    </row>
    <row r="257" spans="1:14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 t="str">
        <f t="shared" si="3"/>
        <v>Core</v>
      </c>
      <c r="N257" s="11">
        <v>5</v>
      </c>
    </row>
    <row r="258" spans="1:14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 t="str">
        <f t="shared" ref="M258:M296" si="4" xml:space="preserve"> C258 &amp; IF(H258="Yes", " + EA Play", "") &amp; IF(J258="Yes", " + Minecraft", "")</f>
        <v>Ultimate + EA Play + Minecraft</v>
      </c>
      <c r="N258" s="11">
        <v>58</v>
      </c>
    </row>
    <row r="259" spans="1:14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 t="str">
        <f t="shared" si="4"/>
        <v>Standard + Minecraft</v>
      </c>
      <c r="N259" s="11">
        <v>20</v>
      </c>
    </row>
    <row r="260" spans="1:14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 t="str">
        <f t="shared" si="4"/>
        <v>Core</v>
      </c>
      <c r="N260" s="11">
        <v>4</v>
      </c>
    </row>
    <row r="261" spans="1:14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 t="str">
        <f t="shared" si="4"/>
        <v>Ultimate + EA Play + Minecraft</v>
      </c>
      <c r="N261" s="11">
        <v>50</v>
      </c>
    </row>
    <row r="262" spans="1:14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 t="str">
        <f t="shared" si="4"/>
        <v>Standard + Minecraft</v>
      </c>
      <c r="N262" s="11">
        <v>25</v>
      </c>
    </row>
    <row r="263" spans="1:14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 t="str">
        <f t="shared" si="4"/>
        <v>Core</v>
      </c>
      <c r="N263" s="11">
        <v>5</v>
      </c>
    </row>
    <row r="264" spans="1:14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 t="str">
        <f t="shared" si="4"/>
        <v>Ultimate + EA Play + Minecraft</v>
      </c>
      <c r="N264" s="11">
        <v>45</v>
      </c>
    </row>
    <row r="265" spans="1:14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 t="str">
        <f t="shared" si="4"/>
        <v>Standard + Minecraft</v>
      </c>
      <c r="N265" s="11">
        <v>18</v>
      </c>
    </row>
    <row r="266" spans="1:14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 t="str">
        <f t="shared" si="4"/>
        <v>Core</v>
      </c>
      <c r="N266" s="11">
        <v>3</v>
      </c>
    </row>
    <row r="267" spans="1:14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 t="str">
        <f t="shared" si="4"/>
        <v>Ultimate + EA Play + Minecraft</v>
      </c>
      <c r="N267" s="11">
        <v>60</v>
      </c>
    </row>
    <row r="268" spans="1:14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 t="str">
        <f t="shared" si="4"/>
        <v>Standard + Minecraft</v>
      </c>
      <c r="N268" s="11">
        <v>20</v>
      </c>
    </row>
    <row r="269" spans="1:14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 t="str">
        <f t="shared" si="4"/>
        <v>Core</v>
      </c>
      <c r="N269" s="11">
        <v>5</v>
      </c>
    </row>
    <row r="270" spans="1:14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 t="str">
        <f t="shared" si="4"/>
        <v>Ultimate + EA Play + Minecraft</v>
      </c>
      <c r="N270" s="11">
        <v>62</v>
      </c>
    </row>
    <row r="271" spans="1:14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 t="str">
        <f t="shared" si="4"/>
        <v>Standard + Minecraft</v>
      </c>
      <c r="N271" s="11">
        <v>15</v>
      </c>
    </row>
    <row r="272" spans="1:14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 t="str">
        <f t="shared" si="4"/>
        <v>Core</v>
      </c>
      <c r="N272" s="11">
        <v>4</v>
      </c>
    </row>
    <row r="273" spans="1:14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 t="str">
        <f t="shared" si="4"/>
        <v>Ultimate + EA Play + Minecraft</v>
      </c>
      <c r="N273" s="11">
        <v>58</v>
      </c>
    </row>
    <row r="274" spans="1:14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 t="str">
        <f t="shared" si="4"/>
        <v>Standard + Minecraft</v>
      </c>
      <c r="N274" s="11">
        <v>20</v>
      </c>
    </row>
    <row r="275" spans="1:14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 t="str">
        <f t="shared" si="4"/>
        <v>Core</v>
      </c>
      <c r="N275" s="11">
        <v>5</v>
      </c>
    </row>
    <row r="276" spans="1:14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 t="str">
        <f t="shared" si="4"/>
        <v>Ultimate + EA Play + Minecraft</v>
      </c>
      <c r="N276" s="11">
        <v>45</v>
      </c>
    </row>
    <row r="277" spans="1:14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 t="str">
        <f t="shared" si="4"/>
        <v>Standard + Minecraft</v>
      </c>
      <c r="N277" s="11">
        <v>15</v>
      </c>
    </row>
    <row r="278" spans="1:14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 t="str">
        <f t="shared" si="4"/>
        <v>Core</v>
      </c>
      <c r="N278" s="11">
        <v>4</v>
      </c>
    </row>
    <row r="279" spans="1:14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 t="str">
        <f t="shared" si="4"/>
        <v>Ultimate + EA Play + Minecraft</v>
      </c>
      <c r="N279" s="11">
        <v>62</v>
      </c>
    </row>
    <row r="280" spans="1:14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 t="str">
        <f t="shared" si="4"/>
        <v>Standard + Minecraft</v>
      </c>
      <c r="N280" s="11">
        <v>20</v>
      </c>
    </row>
    <row r="281" spans="1:14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 t="str">
        <f t="shared" si="4"/>
        <v>Core</v>
      </c>
      <c r="N281" s="11">
        <v>5</v>
      </c>
    </row>
    <row r="282" spans="1:14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 t="str">
        <f t="shared" si="4"/>
        <v>Ultimate + EA Play + Minecraft</v>
      </c>
      <c r="N282" s="11">
        <v>50</v>
      </c>
    </row>
    <row r="283" spans="1:14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 t="str">
        <f t="shared" si="4"/>
        <v>Standard + Minecraft</v>
      </c>
      <c r="N283" s="11">
        <v>15</v>
      </c>
    </row>
    <row r="284" spans="1:14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 t="str">
        <f t="shared" si="4"/>
        <v>Core</v>
      </c>
      <c r="N284" s="11">
        <v>4</v>
      </c>
    </row>
    <row r="285" spans="1:14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 t="str">
        <f t="shared" si="4"/>
        <v>Ultimate + EA Play + Minecraft</v>
      </c>
      <c r="N285" s="11">
        <v>58</v>
      </c>
    </row>
    <row r="286" spans="1:14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 t="str">
        <f t="shared" si="4"/>
        <v>Standard + Minecraft</v>
      </c>
      <c r="N286" s="11">
        <v>20</v>
      </c>
    </row>
    <row r="287" spans="1:14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 t="str">
        <f t="shared" si="4"/>
        <v>Core</v>
      </c>
      <c r="N287" s="11">
        <v>5</v>
      </c>
    </row>
    <row r="288" spans="1:14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 t="str">
        <f t="shared" si="4"/>
        <v>Ultimate + EA Play + Minecraft</v>
      </c>
      <c r="N288" s="11">
        <v>45</v>
      </c>
    </row>
    <row r="289" spans="1:14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 t="str">
        <f t="shared" si="4"/>
        <v>Standard + Minecraft</v>
      </c>
      <c r="N289" s="11">
        <v>18</v>
      </c>
    </row>
    <row r="290" spans="1:14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 t="str">
        <f t="shared" si="4"/>
        <v>Core</v>
      </c>
      <c r="N290" s="11">
        <v>3</v>
      </c>
    </row>
    <row r="291" spans="1:14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 t="str">
        <f t="shared" si="4"/>
        <v>Ultimate + EA Play + Minecraft</v>
      </c>
      <c r="N291" s="11">
        <v>60</v>
      </c>
    </row>
    <row r="292" spans="1:14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 t="str">
        <f t="shared" si="4"/>
        <v>Standard + Minecraft</v>
      </c>
      <c r="N292" s="11">
        <v>20</v>
      </c>
    </row>
    <row r="293" spans="1:14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 t="str">
        <f t="shared" si="4"/>
        <v>Core</v>
      </c>
      <c r="N293" s="11">
        <v>5</v>
      </c>
    </row>
    <row r="294" spans="1:14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 t="str">
        <f t="shared" si="4"/>
        <v>Ultimate + EA Play + Minecraft</v>
      </c>
      <c r="N294" s="11">
        <v>62</v>
      </c>
    </row>
    <row r="295" spans="1:14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 t="str">
        <f t="shared" si="4"/>
        <v>Standard + Minecraft</v>
      </c>
      <c r="N295" s="11">
        <v>15</v>
      </c>
    </row>
    <row r="296" spans="1:14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 t="str">
        <f t="shared" si="4"/>
        <v>Core</v>
      </c>
      <c r="N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63"/>
  <sheetViews>
    <sheetView showGridLines="0" workbookViewId="0">
      <selection activeCell="B40" sqref="B40"/>
    </sheetView>
  </sheetViews>
  <sheetFormatPr defaultRowHeight="14.25"/>
  <cols>
    <col min="2" max="2" width="16.125" bestFit="1" customWidth="1"/>
    <col min="3" max="3" width="16.75" bestFit="1" customWidth="1"/>
    <col min="4" max="4" width="7.625" bestFit="1" customWidth="1"/>
    <col min="5" max="5" width="12" bestFit="1" customWidth="1"/>
    <col min="6" max="17" width="8.5" bestFit="1" customWidth="1"/>
    <col min="18" max="18" width="10.625" bestFit="1" customWidth="1"/>
  </cols>
  <sheetData>
    <row r="3" spans="2:6">
      <c r="B3" s="19" t="s">
        <v>317</v>
      </c>
      <c r="C3" s="19"/>
      <c r="D3" s="19"/>
      <c r="E3" s="19"/>
      <c r="F3" s="19"/>
    </row>
    <row r="6" spans="2:6" ht="15">
      <c r="B6" t="s">
        <v>318</v>
      </c>
    </row>
    <row r="7" spans="2:6" ht="15">
      <c r="B7" t="s">
        <v>320</v>
      </c>
    </row>
    <row r="9" spans="2:6">
      <c r="B9" s="12" t="s">
        <v>16</v>
      </c>
      <c r="C9" t="s">
        <v>20</v>
      </c>
    </row>
    <row r="11" spans="2:6">
      <c r="B11" s="12" t="s">
        <v>309</v>
      </c>
      <c r="C11" t="s">
        <v>319</v>
      </c>
    </row>
    <row r="12" spans="2:6">
      <c r="B12" s="14" t="s">
        <v>23</v>
      </c>
      <c r="C12" s="22">
        <v>2824</v>
      </c>
    </row>
    <row r="13" spans="2:6">
      <c r="B13" s="14" t="s">
        <v>19</v>
      </c>
      <c r="C13" s="22">
        <v>747</v>
      </c>
    </row>
    <row r="14" spans="2:6">
      <c r="B14" s="14" t="s">
        <v>310</v>
      </c>
      <c r="C14" s="22">
        <v>3571</v>
      </c>
    </row>
    <row r="17" spans="2:5">
      <c r="B17" s="14" t="s">
        <v>321</v>
      </c>
    </row>
    <row r="19" spans="2:5">
      <c r="B19" s="12" t="s">
        <v>16</v>
      </c>
      <c r="C19" t="s">
        <v>20</v>
      </c>
    </row>
    <row r="21" spans="2:5">
      <c r="B21" s="12" t="s">
        <v>309</v>
      </c>
      <c r="C21" t="s">
        <v>316</v>
      </c>
    </row>
    <row r="22" spans="2:5">
      <c r="B22" s="14" t="s">
        <v>22</v>
      </c>
      <c r="C22" s="20">
        <v>0</v>
      </c>
    </row>
    <row r="23" spans="2:5">
      <c r="B23" s="14" t="s">
        <v>26</v>
      </c>
      <c r="C23" s="20">
        <v>0</v>
      </c>
    </row>
    <row r="24" spans="2:5">
      <c r="B24" s="14" t="s">
        <v>18</v>
      </c>
      <c r="C24" s="20">
        <v>1350</v>
      </c>
    </row>
    <row r="25" spans="2:5">
      <c r="B25" s="14" t="s">
        <v>310</v>
      </c>
      <c r="C25" s="20">
        <v>1350</v>
      </c>
      <c r="E25" s="16">
        <f>GETPIVOTDATA("EA Play Season Pass
Price",$B$21)</f>
        <v>1350</v>
      </c>
    </row>
    <row r="28" spans="2:5">
      <c r="B28" s="14" t="s">
        <v>322</v>
      </c>
    </row>
    <row r="30" spans="2:5">
      <c r="B30" s="12" t="s">
        <v>16</v>
      </c>
      <c r="C30" t="s">
        <v>20</v>
      </c>
    </row>
    <row r="32" spans="2:5">
      <c r="B32" s="12" t="s">
        <v>309</v>
      </c>
      <c r="C32" t="s">
        <v>311</v>
      </c>
    </row>
    <row r="33" spans="2:5">
      <c r="B33" s="14" t="s">
        <v>22</v>
      </c>
      <c r="C33" s="13">
        <v>0</v>
      </c>
    </row>
    <row r="34" spans="2:5">
      <c r="B34" s="14" t="s">
        <v>26</v>
      </c>
      <c r="C34" s="13">
        <v>900</v>
      </c>
    </row>
    <row r="35" spans="2:5">
      <c r="B35" s="14" t="s">
        <v>18</v>
      </c>
      <c r="C35" s="13">
        <v>900</v>
      </c>
    </row>
    <row r="36" spans="2:5">
      <c r="B36" s="14" t="s">
        <v>310</v>
      </c>
      <c r="C36" s="13">
        <v>1800</v>
      </c>
      <c r="E36" s="16">
        <f>GETPIVOTDATA("Minecraft Season Pass Price",$B$32)</f>
        <v>1800</v>
      </c>
    </row>
    <row r="39" spans="2:5" ht="15">
      <c r="B39" s="14" t="s">
        <v>330</v>
      </c>
    </row>
    <row r="41" spans="2:5">
      <c r="B41" s="12" t="s">
        <v>16</v>
      </c>
      <c r="C41" t="s">
        <v>20</v>
      </c>
    </row>
    <row r="43" spans="2:5">
      <c r="B43" s="12" t="s">
        <v>309</v>
      </c>
      <c r="C43" t="s">
        <v>319</v>
      </c>
    </row>
    <row r="44" spans="2:5">
      <c r="B44" s="14" t="s">
        <v>22</v>
      </c>
      <c r="C44" s="21">
        <v>5.3766451974236906E-2</v>
      </c>
    </row>
    <row r="45" spans="2:5">
      <c r="B45" s="14" t="s">
        <v>325</v>
      </c>
      <c r="C45" s="21">
        <v>0.26827219266311958</v>
      </c>
    </row>
    <row r="46" spans="2:5">
      <c r="B46" s="14" t="s">
        <v>326</v>
      </c>
      <c r="C46" s="21">
        <v>0.67796135536264357</v>
      </c>
    </row>
    <row r="47" spans="2:5">
      <c r="B47" s="14" t="s">
        <v>310</v>
      </c>
      <c r="C47" s="21">
        <v>1</v>
      </c>
    </row>
    <row r="49" spans="2:5">
      <c r="B49" s="14" t="s">
        <v>328</v>
      </c>
    </row>
    <row r="51" spans="2:5">
      <c r="B51" s="12" t="s">
        <v>309</v>
      </c>
      <c r="C51" t="s">
        <v>327</v>
      </c>
    </row>
    <row r="52" spans="2:5">
      <c r="B52" s="14" t="s">
        <v>20</v>
      </c>
      <c r="C52" s="20">
        <v>949</v>
      </c>
    </row>
    <row r="53" spans="2:5">
      <c r="B53" s="14" t="s">
        <v>310</v>
      </c>
      <c r="C53" s="20">
        <v>949</v>
      </c>
    </row>
    <row r="55" spans="2:5">
      <c r="E55" s="16">
        <f>GETPIVOTDATA("Coupon Value",$B$51)</f>
        <v>949</v>
      </c>
    </row>
    <row r="57" spans="2:5">
      <c r="B57" s="14" t="s">
        <v>329</v>
      </c>
    </row>
    <row r="59" spans="2:5">
      <c r="B59" s="12" t="s">
        <v>309</v>
      </c>
      <c r="C59" t="s">
        <v>319</v>
      </c>
    </row>
    <row r="60" spans="2:5">
      <c r="B60" s="14" t="s">
        <v>20</v>
      </c>
      <c r="C60" s="20">
        <v>3571</v>
      </c>
    </row>
    <row r="61" spans="2:5">
      <c r="B61" s="14" t="s">
        <v>310</v>
      </c>
      <c r="C61" s="20">
        <v>3571</v>
      </c>
    </row>
    <row r="63" spans="2:5">
      <c r="E63" s="16">
        <f>GETPIVOTDATA("Total Value",$B$59)</f>
        <v>3571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tabSelected="1" zoomScaleNormal="100" workbookViewId="0">
      <selection activeCell="X37" sqref="X37"/>
    </sheetView>
  </sheetViews>
  <sheetFormatPr defaultRowHeight="14.25"/>
  <cols>
    <col min="1" max="1" width="27.375" style="4" customWidth="1"/>
    <col min="2" max="2" width="3.625" customWidth="1"/>
    <col min="12" max="12" width="6.625" customWidth="1"/>
  </cols>
  <sheetData>
    <row r="2" spans="1:19" ht="27.75" customHeight="1" thickBot="1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Gabriel Penha</cp:lastModifiedBy>
  <dcterms:created xsi:type="dcterms:W3CDTF">2024-12-19T13:13:10Z</dcterms:created>
  <dcterms:modified xsi:type="dcterms:W3CDTF">2026-01-02T20:13:20Z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